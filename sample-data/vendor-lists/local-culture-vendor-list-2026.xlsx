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claudecode\school-lib-local\00_source\"/>
    </mc:Choice>
  </mc:AlternateContent>
  <xr:revisionPtr revIDLastSave="0" documentId="13_ncr:1_{879BDAFD-7479-40FD-8129-F52E0517C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本土文化 " sheetId="1" r:id="rId1"/>
  </sheets>
  <definedNames>
    <definedName name="_xlnm._FilterDatabase" localSheetId="0" hidden="1">'本土文化 '!$A$1:$Q$697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9" i="1" l="1"/>
  <c r="M678" i="1"/>
  <c r="L678" i="1" s="1"/>
  <c r="H678" i="1"/>
  <c r="J678" i="1" s="1"/>
  <c r="M677" i="1"/>
  <c r="L677" i="1" s="1"/>
  <c r="H677" i="1"/>
  <c r="J677" i="1" s="1"/>
  <c r="M676" i="1"/>
  <c r="L676" i="1" s="1"/>
  <c r="H676" i="1"/>
  <c r="J676" i="1" s="1"/>
  <c r="M675" i="1"/>
  <c r="L675" i="1"/>
  <c r="H675" i="1"/>
  <c r="J675" i="1" s="1"/>
  <c r="M674" i="1"/>
  <c r="L674" i="1"/>
  <c r="J674" i="1"/>
  <c r="H674" i="1"/>
  <c r="M673" i="1"/>
  <c r="L673" i="1"/>
  <c r="H673" i="1"/>
  <c r="J673" i="1" s="1"/>
  <c r="M672" i="1"/>
  <c r="L672" i="1" s="1"/>
  <c r="H672" i="1"/>
  <c r="J672" i="1" s="1"/>
  <c r="M671" i="1"/>
  <c r="L671" i="1" s="1"/>
  <c r="H671" i="1"/>
  <c r="J671" i="1" s="1"/>
  <c r="M670" i="1"/>
  <c r="L670" i="1"/>
  <c r="H670" i="1"/>
  <c r="J670" i="1" s="1"/>
  <c r="M669" i="1"/>
  <c r="L669" i="1"/>
  <c r="J669" i="1"/>
  <c r="H669" i="1"/>
  <c r="M668" i="1"/>
  <c r="L668" i="1" s="1"/>
  <c r="H668" i="1"/>
  <c r="J668" i="1" s="1"/>
  <c r="M667" i="1"/>
  <c r="L667" i="1"/>
  <c r="H667" i="1"/>
  <c r="J667" i="1" s="1"/>
  <c r="M666" i="1"/>
  <c r="L666" i="1" s="1"/>
  <c r="H666" i="1"/>
  <c r="J666" i="1" s="1"/>
  <c r="M665" i="1"/>
  <c r="L665" i="1" s="1"/>
  <c r="H665" i="1"/>
  <c r="J665" i="1" s="1"/>
  <c r="M664" i="1"/>
  <c r="L664" i="1"/>
  <c r="H664" i="1"/>
  <c r="J664" i="1" s="1"/>
  <c r="M663" i="1"/>
  <c r="L663" i="1"/>
  <c r="H663" i="1"/>
  <c r="J663" i="1" s="1"/>
  <c r="M662" i="1"/>
  <c r="L662" i="1" s="1"/>
  <c r="J662" i="1"/>
  <c r="H662" i="1"/>
  <c r="M661" i="1"/>
  <c r="L661" i="1" s="1"/>
  <c r="H661" i="1"/>
  <c r="J661" i="1" s="1"/>
  <c r="M660" i="1"/>
  <c r="L660" i="1" s="1"/>
  <c r="J660" i="1"/>
  <c r="H660" i="1"/>
  <c r="M659" i="1"/>
  <c r="L659" i="1"/>
  <c r="H659" i="1"/>
  <c r="J659" i="1" s="1"/>
  <c r="M658" i="1"/>
  <c r="L658" i="1" s="1"/>
  <c r="H658" i="1"/>
  <c r="J658" i="1" s="1"/>
  <c r="M657" i="1"/>
  <c r="L657" i="1"/>
  <c r="J657" i="1"/>
  <c r="H657" i="1"/>
  <c r="M656" i="1"/>
  <c r="L656" i="1"/>
  <c r="H656" i="1"/>
  <c r="J656" i="1" s="1"/>
  <c r="M655" i="1"/>
  <c r="L655" i="1"/>
  <c r="H655" i="1"/>
  <c r="J655" i="1" s="1"/>
  <c r="M654" i="1"/>
  <c r="L654" i="1"/>
  <c r="J654" i="1"/>
  <c r="H654" i="1"/>
  <c r="M653" i="1"/>
  <c r="L653" i="1"/>
  <c r="H653" i="1"/>
  <c r="J653" i="1" s="1"/>
  <c r="M652" i="1"/>
  <c r="L652" i="1"/>
  <c r="J652" i="1"/>
  <c r="H652" i="1"/>
  <c r="M651" i="1"/>
  <c r="L651" i="1" s="1"/>
  <c r="H651" i="1"/>
  <c r="J651" i="1" s="1"/>
  <c r="M650" i="1"/>
  <c r="L650" i="1"/>
  <c r="H650" i="1"/>
  <c r="J650" i="1" s="1"/>
  <c r="M649" i="1"/>
  <c r="L649" i="1" s="1"/>
  <c r="H649" i="1"/>
  <c r="J649" i="1" s="1"/>
  <c r="M648" i="1"/>
  <c r="L648" i="1" s="1"/>
  <c r="H648" i="1"/>
  <c r="J648" i="1" s="1"/>
  <c r="M647" i="1"/>
  <c r="L647" i="1"/>
  <c r="H647" i="1"/>
  <c r="J647" i="1" s="1"/>
  <c r="M646" i="1"/>
  <c r="L646" i="1" s="1"/>
  <c r="H646" i="1"/>
  <c r="J646" i="1" s="1"/>
  <c r="M645" i="1"/>
  <c r="L645" i="1"/>
  <c r="J645" i="1"/>
  <c r="H645" i="1"/>
  <c r="M644" i="1"/>
  <c r="L644" i="1" s="1"/>
  <c r="H644" i="1"/>
  <c r="J644" i="1" s="1"/>
  <c r="M643" i="1"/>
  <c r="L643" i="1" s="1"/>
  <c r="H643" i="1"/>
  <c r="J643" i="1" s="1"/>
  <c r="M642" i="1"/>
  <c r="L642" i="1"/>
  <c r="H642" i="1"/>
  <c r="J642" i="1" s="1"/>
  <c r="M641" i="1"/>
  <c r="L641" i="1" s="1"/>
  <c r="H641" i="1"/>
  <c r="J641" i="1" s="1"/>
  <c r="M640" i="1"/>
  <c r="L640" i="1"/>
  <c r="J640" i="1"/>
  <c r="H640" i="1"/>
  <c r="M639" i="1"/>
  <c r="L639" i="1"/>
  <c r="H639" i="1"/>
  <c r="J639" i="1" s="1"/>
  <c r="M638" i="1"/>
  <c r="L638" i="1" s="1"/>
  <c r="J638" i="1"/>
  <c r="H638" i="1"/>
  <c r="M637" i="1"/>
  <c r="L637" i="1"/>
  <c r="J637" i="1"/>
  <c r="H637" i="1"/>
  <c r="M636" i="1"/>
  <c r="L636" i="1"/>
  <c r="H636" i="1"/>
  <c r="J636" i="1" s="1"/>
  <c r="M635" i="1"/>
  <c r="L635" i="1"/>
  <c r="H635" i="1"/>
  <c r="J635" i="1" s="1"/>
  <c r="M634" i="1"/>
  <c r="L634" i="1"/>
  <c r="H634" i="1"/>
  <c r="J634" i="1" s="1"/>
  <c r="M633" i="1"/>
  <c r="L633" i="1"/>
  <c r="J633" i="1"/>
  <c r="H633" i="1"/>
  <c r="M632" i="1"/>
  <c r="L632" i="1" s="1"/>
  <c r="H632" i="1"/>
  <c r="J632" i="1" s="1"/>
  <c r="M631" i="1"/>
  <c r="L631" i="1" s="1"/>
  <c r="H631" i="1"/>
  <c r="J631" i="1" s="1"/>
  <c r="M630" i="1"/>
  <c r="L630" i="1" s="1"/>
  <c r="J630" i="1"/>
  <c r="H630" i="1"/>
  <c r="M629" i="1"/>
  <c r="L629" i="1" s="1"/>
  <c r="H629" i="1"/>
  <c r="J629" i="1" s="1"/>
  <c r="M628" i="1"/>
  <c r="L628" i="1"/>
  <c r="H628" i="1"/>
  <c r="J628" i="1" s="1"/>
  <c r="M627" i="1"/>
  <c r="L627" i="1"/>
  <c r="H627" i="1"/>
  <c r="J627" i="1" s="1"/>
  <c r="M626" i="1"/>
  <c r="L626" i="1"/>
  <c r="H626" i="1"/>
  <c r="J626" i="1" s="1"/>
  <c r="M625" i="1"/>
  <c r="L625" i="1"/>
  <c r="H625" i="1"/>
  <c r="J625" i="1" s="1"/>
  <c r="M624" i="1"/>
  <c r="L624" i="1"/>
  <c r="H624" i="1"/>
  <c r="J624" i="1" s="1"/>
  <c r="M623" i="1"/>
  <c r="L623" i="1" s="1"/>
  <c r="H623" i="1"/>
  <c r="J623" i="1" s="1"/>
  <c r="M622" i="1"/>
  <c r="L622" i="1"/>
  <c r="J622" i="1"/>
  <c r="H622" i="1"/>
  <c r="M621" i="1"/>
  <c r="L621" i="1" s="1"/>
  <c r="J621" i="1"/>
  <c r="H621" i="1"/>
  <c r="M620" i="1"/>
  <c r="L620" i="1"/>
  <c r="H620" i="1"/>
  <c r="J620" i="1" s="1"/>
  <c r="M619" i="1"/>
  <c r="L619" i="1"/>
  <c r="H619" i="1"/>
  <c r="J619" i="1" s="1"/>
  <c r="M618" i="1"/>
  <c r="L618" i="1" s="1"/>
  <c r="H618" i="1"/>
  <c r="J618" i="1" s="1"/>
  <c r="M617" i="1"/>
  <c r="L617" i="1"/>
  <c r="H617" i="1"/>
  <c r="J617" i="1" s="1"/>
  <c r="M616" i="1"/>
  <c r="L616" i="1"/>
  <c r="H616" i="1"/>
  <c r="J616" i="1" s="1"/>
  <c r="M615" i="1"/>
  <c r="L615" i="1"/>
  <c r="H615" i="1"/>
  <c r="J615" i="1" s="1"/>
  <c r="M614" i="1"/>
  <c r="L614" i="1" s="1"/>
  <c r="H614" i="1"/>
  <c r="J614" i="1" s="1"/>
  <c r="M613" i="1"/>
  <c r="L613" i="1" s="1"/>
  <c r="J613" i="1"/>
  <c r="H613" i="1"/>
  <c r="M612" i="1"/>
  <c r="L612" i="1" s="1"/>
  <c r="H612" i="1"/>
  <c r="J612" i="1" s="1"/>
  <c r="M611" i="1"/>
  <c r="L611" i="1"/>
  <c r="H611" i="1"/>
  <c r="J611" i="1" s="1"/>
  <c r="M610" i="1"/>
  <c r="L610" i="1"/>
  <c r="J610" i="1"/>
  <c r="H610" i="1"/>
  <c r="M609" i="1"/>
  <c r="L609" i="1"/>
  <c r="H609" i="1"/>
  <c r="J609" i="1" s="1"/>
  <c r="M608" i="1"/>
  <c r="L608" i="1"/>
  <c r="H608" i="1"/>
  <c r="J608" i="1" s="1"/>
  <c r="M607" i="1"/>
  <c r="L607" i="1" s="1"/>
  <c r="H607" i="1"/>
  <c r="J607" i="1" s="1"/>
  <c r="M606" i="1"/>
  <c r="L606" i="1"/>
  <c r="H606" i="1"/>
  <c r="J606" i="1" s="1"/>
  <c r="M605" i="1"/>
  <c r="L605" i="1"/>
  <c r="J605" i="1"/>
  <c r="H605" i="1"/>
  <c r="M604" i="1"/>
  <c r="L604" i="1" s="1"/>
  <c r="J604" i="1"/>
  <c r="H604" i="1"/>
  <c r="M603" i="1"/>
  <c r="L603" i="1"/>
  <c r="H603" i="1"/>
  <c r="J603" i="1" s="1"/>
  <c r="M602" i="1"/>
  <c r="L602" i="1"/>
  <c r="H602" i="1"/>
  <c r="J602" i="1" s="1"/>
  <c r="M601" i="1"/>
  <c r="L601" i="1" s="1"/>
  <c r="H601" i="1"/>
  <c r="J601" i="1" s="1"/>
  <c r="M600" i="1"/>
  <c r="L600" i="1"/>
  <c r="H600" i="1"/>
  <c r="J600" i="1" s="1"/>
  <c r="M599" i="1"/>
  <c r="L599" i="1"/>
  <c r="H599" i="1"/>
  <c r="J599" i="1" s="1"/>
  <c r="M598" i="1"/>
  <c r="L598" i="1"/>
  <c r="H598" i="1"/>
  <c r="J598" i="1" s="1"/>
  <c r="M597" i="1"/>
  <c r="L597" i="1"/>
  <c r="H597" i="1"/>
  <c r="J597" i="1" s="1"/>
  <c r="M596" i="1"/>
  <c r="L596" i="1" s="1"/>
  <c r="J596" i="1"/>
  <c r="H596" i="1"/>
  <c r="M595" i="1"/>
  <c r="L595" i="1" s="1"/>
  <c r="H595" i="1"/>
  <c r="J595" i="1" s="1"/>
  <c r="M594" i="1"/>
  <c r="L594" i="1"/>
  <c r="J594" i="1"/>
  <c r="H594" i="1"/>
  <c r="M593" i="1"/>
  <c r="L593" i="1"/>
  <c r="J593" i="1"/>
  <c r="H593" i="1"/>
  <c r="M592" i="1"/>
  <c r="L592" i="1"/>
  <c r="H592" i="1"/>
  <c r="J592" i="1" s="1"/>
  <c r="M591" i="1"/>
  <c r="L591" i="1"/>
  <c r="H591" i="1"/>
  <c r="J591" i="1" s="1"/>
  <c r="M590" i="1"/>
  <c r="L590" i="1"/>
  <c r="H590" i="1"/>
  <c r="J590" i="1" s="1"/>
  <c r="M589" i="1"/>
  <c r="L589" i="1" s="1"/>
  <c r="H589" i="1"/>
  <c r="J589" i="1" s="1"/>
  <c r="M588" i="1"/>
  <c r="L588" i="1"/>
  <c r="J588" i="1"/>
  <c r="H588" i="1"/>
  <c r="M587" i="1"/>
  <c r="L587" i="1" s="1"/>
  <c r="H587" i="1"/>
  <c r="J587" i="1" s="1"/>
  <c r="M586" i="1"/>
  <c r="L586" i="1"/>
  <c r="H586" i="1"/>
  <c r="J586" i="1" s="1"/>
  <c r="M585" i="1"/>
  <c r="L585" i="1"/>
  <c r="J585" i="1"/>
  <c r="H585" i="1"/>
  <c r="M584" i="1"/>
  <c r="L584" i="1" s="1"/>
  <c r="H584" i="1"/>
  <c r="J584" i="1" s="1"/>
  <c r="M583" i="1"/>
  <c r="L583" i="1"/>
  <c r="H583" i="1"/>
  <c r="J583" i="1" s="1"/>
  <c r="M582" i="1"/>
  <c r="L582" i="1" s="1"/>
  <c r="H582" i="1"/>
  <c r="J582" i="1" s="1"/>
  <c r="M581" i="1"/>
  <c r="L581" i="1"/>
  <c r="H581" i="1"/>
  <c r="J581" i="1" s="1"/>
  <c r="M580" i="1"/>
  <c r="L580" i="1"/>
  <c r="H580" i="1"/>
  <c r="J580" i="1" s="1"/>
  <c r="M579" i="1"/>
  <c r="L579" i="1" s="1"/>
  <c r="H579" i="1"/>
  <c r="J579" i="1" s="1"/>
  <c r="M578" i="1"/>
  <c r="L578" i="1"/>
  <c r="H578" i="1"/>
  <c r="J578" i="1" s="1"/>
  <c r="M577" i="1"/>
  <c r="L577" i="1" s="1"/>
  <c r="J577" i="1"/>
  <c r="H577" i="1"/>
  <c r="M576" i="1"/>
  <c r="L576" i="1"/>
  <c r="J576" i="1"/>
  <c r="H576" i="1"/>
  <c r="M575" i="1"/>
  <c r="L575" i="1"/>
  <c r="H575" i="1"/>
  <c r="J575" i="1" s="1"/>
  <c r="M574" i="1"/>
  <c r="L574" i="1" s="1"/>
  <c r="J574" i="1"/>
  <c r="H574" i="1"/>
  <c r="M573" i="1"/>
  <c r="L573" i="1"/>
  <c r="J573" i="1"/>
  <c r="H573" i="1"/>
  <c r="M572" i="1"/>
  <c r="L572" i="1" s="1"/>
  <c r="H572" i="1"/>
  <c r="J572" i="1" s="1"/>
  <c r="M571" i="1"/>
  <c r="L571" i="1"/>
  <c r="H571" i="1"/>
  <c r="J571" i="1" s="1"/>
  <c r="M570" i="1"/>
  <c r="L570" i="1"/>
  <c r="H570" i="1"/>
  <c r="J570" i="1" s="1"/>
  <c r="M569" i="1"/>
  <c r="L569" i="1"/>
  <c r="J569" i="1"/>
  <c r="H569" i="1"/>
  <c r="M568" i="1"/>
  <c r="L568" i="1" s="1"/>
  <c r="J568" i="1"/>
  <c r="H568" i="1"/>
  <c r="M567" i="1"/>
  <c r="L567" i="1" s="1"/>
  <c r="H567" i="1"/>
  <c r="J567" i="1" s="1"/>
  <c r="M566" i="1"/>
  <c r="L566" i="1" s="1"/>
  <c r="J566" i="1"/>
  <c r="H566" i="1"/>
  <c r="M565" i="1"/>
  <c r="L565" i="1" s="1"/>
  <c r="H565" i="1"/>
  <c r="J565" i="1" s="1"/>
  <c r="M564" i="1"/>
  <c r="L564" i="1" s="1"/>
  <c r="H564" i="1"/>
  <c r="J564" i="1" s="1"/>
  <c r="M563" i="1"/>
  <c r="L563" i="1"/>
  <c r="H563" i="1"/>
  <c r="J563" i="1" s="1"/>
  <c r="M562" i="1"/>
  <c r="L562" i="1"/>
  <c r="H562" i="1"/>
  <c r="J562" i="1" s="1"/>
  <c r="M561" i="1"/>
  <c r="L561" i="1"/>
  <c r="H561" i="1"/>
  <c r="J561" i="1" s="1"/>
  <c r="M560" i="1"/>
  <c r="L560" i="1"/>
  <c r="H560" i="1"/>
  <c r="J560" i="1" s="1"/>
  <c r="M559" i="1"/>
  <c r="L559" i="1"/>
  <c r="H559" i="1"/>
  <c r="J559" i="1" s="1"/>
  <c r="M558" i="1"/>
  <c r="L558" i="1"/>
  <c r="J558" i="1"/>
  <c r="H558" i="1"/>
  <c r="M557" i="1"/>
  <c r="L557" i="1" s="1"/>
  <c r="J557" i="1"/>
  <c r="H557" i="1"/>
  <c r="M556" i="1"/>
  <c r="L556" i="1"/>
  <c r="H556" i="1"/>
  <c r="J556" i="1" s="1"/>
  <c r="M555" i="1"/>
  <c r="L555" i="1"/>
  <c r="H555" i="1"/>
  <c r="J555" i="1" s="1"/>
  <c r="M554" i="1"/>
  <c r="L554" i="1" s="1"/>
  <c r="H554" i="1"/>
  <c r="J554" i="1" s="1"/>
  <c r="M553" i="1"/>
  <c r="L553" i="1"/>
  <c r="H553" i="1"/>
  <c r="J553" i="1" s="1"/>
  <c r="M552" i="1"/>
  <c r="L552" i="1"/>
  <c r="H552" i="1"/>
  <c r="J552" i="1" s="1"/>
  <c r="M551" i="1"/>
  <c r="L551" i="1"/>
  <c r="H551" i="1"/>
  <c r="J551" i="1" s="1"/>
  <c r="M550" i="1"/>
  <c r="L550" i="1"/>
  <c r="H550" i="1"/>
  <c r="J550" i="1" s="1"/>
  <c r="M549" i="1"/>
  <c r="L549" i="1" s="1"/>
  <c r="J549" i="1"/>
  <c r="H549" i="1"/>
  <c r="M548" i="1"/>
  <c r="L548" i="1" s="1"/>
  <c r="H548" i="1"/>
  <c r="J548" i="1" s="1"/>
  <c r="M547" i="1"/>
  <c r="L547" i="1"/>
  <c r="H547" i="1"/>
  <c r="J547" i="1" s="1"/>
  <c r="M546" i="1"/>
  <c r="L546" i="1"/>
  <c r="J546" i="1"/>
  <c r="H546" i="1"/>
  <c r="M545" i="1"/>
  <c r="L545" i="1"/>
  <c r="H545" i="1"/>
  <c r="J545" i="1" s="1"/>
  <c r="M544" i="1"/>
  <c r="L544" i="1"/>
  <c r="H544" i="1"/>
  <c r="J544" i="1" s="1"/>
  <c r="M543" i="1"/>
  <c r="L543" i="1" s="1"/>
  <c r="H543" i="1"/>
  <c r="J543" i="1" s="1"/>
  <c r="M542" i="1"/>
  <c r="L542" i="1"/>
  <c r="H542" i="1"/>
  <c r="J542" i="1" s="1"/>
  <c r="M541" i="1"/>
  <c r="L541" i="1"/>
  <c r="J541" i="1"/>
  <c r="H541" i="1"/>
  <c r="M540" i="1"/>
  <c r="L540" i="1" s="1"/>
  <c r="J540" i="1"/>
  <c r="H540" i="1"/>
  <c r="M539" i="1"/>
  <c r="L539" i="1"/>
  <c r="H539" i="1"/>
  <c r="J539" i="1" s="1"/>
  <c r="M538" i="1"/>
  <c r="L538" i="1"/>
  <c r="H538" i="1"/>
  <c r="J538" i="1" s="1"/>
  <c r="M537" i="1"/>
  <c r="L537" i="1" s="1"/>
  <c r="H537" i="1"/>
  <c r="J537" i="1" s="1"/>
  <c r="M536" i="1"/>
  <c r="L536" i="1"/>
  <c r="H536" i="1"/>
  <c r="J536" i="1" s="1"/>
  <c r="M535" i="1"/>
  <c r="L535" i="1"/>
  <c r="H535" i="1"/>
  <c r="J535" i="1" s="1"/>
  <c r="M534" i="1"/>
  <c r="L534" i="1" s="1"/>
  <c r="H534" i="1"/>
  <c r="J534" i="1" s="1"/>
  <c r="M533" i="1"/>
  <c r="L533" i="1"/>
  <c r="H533" i="1"/>
  <c r="J533" i="1" s="1"/>
  <c r="M532" i="1"/>
  <c r="L532" i="1" s="1"/>
  <c r="J532" i="1"/>
  <c r="H532" i="1"/>
  <c r="M531" i="1"/>
  <c r="L531" i="1" s="1"/>
  <c r="H531" i="1"/>
  <c r="J531" i="1" s="1"/>
  <c r="M530" i="1"/>
  <c r="L530" i="1" s="1"/>
  <c r="J530" i="1"/>
  <c r="H530" i="1"/>
  <c r="M529" i="1"/>
  <c r="L529" i="1" s="1"/>
  <c r="J529" i="1"/>
  <c r="H529" i="1"/>
  <c r="M528" i="1"/>
  <c r="L528" i="1"/>
  <c r="H528" i="1"/>
  <c r="J528" i="1" s="1"/>
  <c r="M527" i="1"/>
  <c r="L527" i="1"/>
  <c r="H527" i="1"/>
  <c r="J527" i="1" s="1"/>
  <c r="M526" i="1"/>
  <c r="L526" i="1"/>
  <c r="H526" i="1"/>
  <c r="J526" i="1" s="1"/>
  <c r="M525" i="1"/>
  <c r="L525" i="1"/>
  <c r="J525" i="1"/>
  <c r="H525" i="1"/>
  <c r="M524" i="1"/>
  <c r="L524" i="1"/>
  <c r="J524" i="1"/>
  <c r="H524" i="1"/>
  <c r="M523" i="1"/>
  <c r="L523" i="1" s="1"/>
  <c r="H523" i="1"/>
  <c r="J523" i="1" s="1"/>
  <c r="M522" i="1"/>
  <c r="L522" i="1"/>
  <c r="H522" i="1"/>
  <c r="J522" i="1" s="1"/>
  <c r="M521" i="1"/>
  <c r="L521" i="1" s="1"/>
  <c r="J521" i="1"/>
  <c r="H521" i="1"/>
  <c r="M520" i="1"/>
  <c r="L520" i="1" s="1"/>
  <c r="H520" i="1"/>
  <c r="J520" i="1" s="1"/>
  <c r="M519" i="1"/>
  <c r="L519" i="1"/>
  <c r="H519" i="1"/>
  <c r="J519" i="1" s="1"/>
  <c r="M518" i="1"/>
  <c r="L518" i="1" s="1"/>
  <c r="H518" i="1"/>
  <c r="J518" i="1" s="1"/>
  <c r="M517" i="1"/>
  <c r="L517" i="1" s="1"/>
  <c r="H517" i="1"/>
  <c r="J517" i="1" s="1"/>
  <c r="M516" i="1"/>
  <c r="L516" i="1"/>
  <c r="H516" i="1"/>
  <c r="J516" i="1" s="1"/>
  <c r="M515" i="1"/>
  <c r="L515" i="1" s="1"/>
  <c r="H515" i="1"/>
  <c r="J515" i="1" s="1"/>
  <c r="M514" i="1"/>
  <c r="L514" i="1"/>
  <c r="H514" i="1"/>
  <c r="J514" i="1" s="1"/>
  <c r="M513" i="1"/>
  <c r="L513" i="1" s="1"/>
  <c r="J513" i="1"/>
  <c r="H513" i="1"/>
  <c r="M512" i="1"/>
  <c r="L512" i="1" s="1"/>
  <c r="J512" i="1"/>
  <c r="H512" i="1"/>
  <c r="M511" i="1"/>
  <c r="L511" i="1"/>
  <c r="H511" i="1"/>
  <c r="J511" i="1" s="1"/>
  <c r="M510" i="1"/>
  <c r="L510" i="1" s="1"/>
  <c r="J510" i="1"/>
  <c r="H510" i="1"/>
  <c r="M509" i="1"/>
  <c r="L509" i="1"/>
  <c r="J509" i="1"/>
  <c r="H509" i="1"/>
  <c r="M508" i="1"/>
  <c r="L508" i="1" s="1"/>
  <c r="J508" i="1"/>
  <c r="H508" i="1"/>
  <c r="M507" i="1"/>
  <c r="L507" i="1"/>
  <c r="H507" i="1"/>
  <c r="J507" i="1" s="1"/>
  <c r="M506" i="1"/>
  <c r="L506" i="1"/>
  <c r="H506" i="1"/>
  <c r="J506" i="1" s="1"/>
  <c r="M505" i="1"/>
  <c r="L505" i="1"/>
  <c r="H505" i="1"/>
  <c r="J505" i="1" s="1"/>
  <c r="M504" i="1"/>
  <c r="L504" i="1" s="1"/>
  <c r="J504" i="1"/>
  <c r="H504" i="1"/>
  <c r="M503" i="1"/>
  <c r="L503" i="1" s="1"/>
  <c r="H503" i="1"/>
  <c r="J503" i="1" s="1"/>
  <c r="M502" i="1"/>
  <c r="L502" i="1" s="1"/>
  <c r="J502" i="1"/>
  <c r="H502" i="1"/>
  <c r="M501" i="1"/>
  <c r="L501" i="1" s="1"/>
  <c r="H501" i="1"/>
  <c r="J501" i="1" s="1"/>
  <c r="M500" i="1"/>
  <c r="L500" i="1"/>
  <c r="J500" i="1"/>
  <c r="H500" i="1"/>
  <c r="M499" i="1"/>
  <c r="L499" i="1"/>
  <c r="H499" i="1"/>
  <c r="J499" i="1" s="1"/>
  <c r="M498" i="1"/>
  <c r="L498" i="1"/>
  <c r="H498" i="1"/>
  <c r="J498" i="1" s="1"/>
  <c r="M497" i="1"/>
  <c r="L497" i="1"/>
  <c r="H497" i="1"/>
  <c r="J497" i="1" s="1"/>
  <c r="M496" i="1"/>
  <c r="L496" i="1"/>
  <c r="H496" i="1"/>
  <c r="J496" i="1" s="1"/>
  <c r="M495" i="1"/>
  <c r="L495" i="1"/>
  <c r="H495" i="1"/>
  <c r="J495" i="1" s="1"/>
  <c r="M494" i="1"/>
  <c r="L494" i="1"/>
  <c r="J494" i="1"/>
  <c r="H494" i="1"/>
  <c r="M493" i="1"/>
  <c r="L493" i="1" s="1"/>
  <c r="J493" i="1"/>
  <c r="H493" i="1"/>
  <c r="M492" i="1"/>
  <c r="L492" i="1"/>
  <c r="H492" i="1"/>
  <c r="J492" i="1" s="1"/>
  <c r="M491" i="1"/>
  <c r="L491" i="1"/>
  <c r="H491" i="1"/>
  <c r="J491" i="1" s="1"/>
  <c r="M490" i="1"/>
  <c r="L490" i="1" s="1"/>
  <c r="H490" i="1"/>
  <c r="J490" i="1" s="1"/>
  <c r="M489" i="1"/>
  <c r="L489" i="1"/>
  <c r="H489" i="1"/>
  <c r="J489" i="1" s="1"/>
  <c r="M488" i="1"/>
  <c r="L488" i="1" s="1"/>
  <c r="H488" i="1"/>
  <c r="J488" i="1" s="1"/>
  <c r="M487" i="1"/>
  <c r="L487" i="1"/>
  <c r="H487" i="1"/>
  <c r="J487" i="1" s="1"/>
  <c r="M486" i="1"/>
  <c r="L486" i="1"/>
  <c r="H486" i="1"/>
  <c r="J486" i="1" s="1"/>
  <c r="M485" i="1"/>
  <c r="L485" i="1" s="1"/>
  <c r="J485" i="1"/>
  <c r="H485" i="1"/>
  <c r="M484" i="1"/>
  <c r="L484" i="1" s="1"/>
  <c r="H484" i="1"/>
  <c r="J484" i="1" s="1"/>
  <c r="M483" i="1"/>
  <c r="L483" i="1" s="1"/>
  <c r="H483" i="1"/>
  <c r="J483" i="1" s="1"/>
  <c r="M482" i="1"/>
  <c r="L482" i="1"/>
  <c r="J482" i="1"/>
  <c r="H482" i="1"/>
  <c r="M481" i="1"/>
  <c r="L481" i="1"/>
  <c r="H481" i="1"/>
  <c r="J481" i="1" s="1"/>
  <c r="M480" i="1"/>
  <c r="L480" i="1"/>
  <c r="J480" i="1"/>
  <c r="H480" i="1"/>
  <c r="M479" i="1"/>
  <c r="L479" i="1"/>
  <c r="H479" i="1"/>
  <c r="J479" i="1" s="1"/>
  <c r="M478" i="1"/>
  <c r="L478" i="1"/>
  <c r="H478" i="1"/>
  <c r="J478" i="1" s="1"/>
  <c r="M477" i="1"/>
  <c r="L477" i="1"/>
  <c r="J477" i="1"/>
  <c r="H477" i="1"/>
  <c r="M476" i="1"/>
  <c r="L476" i="1" s="1"/>
  <c r="J476" i="1"/>
  <c r="H476" i="1"/>
  <c r="M475" i="1"/>
  <c r="L475" i="1"/>
  <c r="H475" i="1"/>
  <c r="J475" i="1" s="1"/>
  <c r="M474" i="1"/>
  <c r="L474" i="1"/>
  <c r="H474" i="1"/>
  <c r="J474" i="1" s="1"/>
  <c r="M473" i="1"/>
  <c r="L473" i="1" s="1"/>
  <c r="H473" i="1"/>
  <c r="J473" i="1" s="1"/>
  <c r="M472" i="1"/>
  <c r="L472" i="1"/>
  <c r="H472" i="1"/>
  <c r="J472" i="1" s="1"/>
  <c r="M471" i="1"/>
  <c r="L471" i="1" s="1"/>
  <c r="H471" i="1"/>
  <c r="J471" i="1" s="1"/>
  <c r="M470" i="1"/>
  <c r="L470" i="1" s="1"/>
  <c r="H470" i="1"/>
  <c r="J470" i="1" s="1"/>
  <c r="M469" i="1"/>
  <c r="L469" i="1"/>
  <c r="H469" i="1"/>
  <c r="J469" i="1" s="1"/>
  <c r="M468" i="1"/>
  <c r="L468" i="1" s="1"/>
  <c r="J468" i="1"/>
  <c r="H468" i="1"/>
  <c r="M467" i="1"/>
  <c r="L467" i="1" s="1"/>
  <c r="H467" i="1"/>
  <c r="J467" i="1" s="1"/>
  <c r="M466" i="1"/>
  <c r="L466" i="1"/>
  <c r="H466" i="1"/>
  <c r="J466" i="1" s="1"/>
  <c r="M465" i="1"/>
  <c r="L465" i="1" s="1"/>
  <c r="J465" i="1"/>
  <c r="H465" i="1"/>
  <c r="M464" i="1"/>
  <c r="L464" i="1"/>
  <c r="H464" i="1"/>
  <c r="J464" i="1" s="1"/>
  <c r="M463" i="1"/>
  <c r="L463" i="1"/>
  <c r="H463" i="1"/>
  <c r="J463" i="1" s="1"/>
  <c r="M462" i="1"/>
  <c r="L462" i="1"/>
  <c r="H462" i="1"/>
  <c r="J462" i="1" s="1"/>
  <c r="M461" i="1"/>
  <c r="L461" i="1"/>
  <c r="H461" i="1"/>
  <c r="J461" i="1" s="1"/>
  <c r="M460" i="1"/>
  <c r="L460" i="1"/>
  <c r="J460" i="1"/>
  <c r="H460" i="1"/>
  <c r="M459" i="1"/>
  <c r="L459" i="1" s="1"/>
  <c r="H459" i="1"/>
  <c r="J459" i="1" s="1"/>
  <c r="M458" i="1"/>
  <c r="L458" i="1" s="1"/>
  <c r="H458" i="1"/>
  <c r="J458" i="1" s="1"/>
  <c r="M457" i="1"/>
  <c r="L457" i="1"/>
  <c r="H457" i="1"/>
  <c r="J457" i="1" s="1"/>
  <c r="M456" i="1"/>
  <c r="L456" i="1" s="1"/>
  <c r="H456" i="1"/>
  <c r="J456" i="1" s="1"/>
  <c r="M455" i="1"/>
  <c r="L455" i="1"/>
  <c r="H455" i="1"/>
  <c r="J455" i="1" s="1"/>
  <c r="M454" i="1"/>
  <c r="L454" i="1" s="1"/>
  <c r="H454" i="1"/>
  <c r="J454" i="1" s="1"/>
  <c r="M453" i="1"/>
  <c r="L453" i="1" s="1"/>
  <c r="J453" i="1"/>
  <c r="H453" i="1"/>
  <c r="M452" i="1"/>
  <c r="L452" i="1" s="1"/>
  <c r="H452" i="1"/>
  <c r="J452" i="1" s="1"/>
  <c r="M451" i="1"/>
  <c r="L451" i="1" s="1"/>
  <c r="H451" i="1"/>
  <c r="J451" i="1" s="1"/>
  <c r="M450" i="1"/>
  <c r="L450" i="1"/>
  <c r="J450" i="1"/>
  <c r="H450" i="1"/>
  <c r="M449" i="1"/>
  <c r="L449" i="1" s="1"/>
  <c r="H449" i="1"/>
  <c r="J449" i="1" s="1"/>
  <c r="M448" i="1"/>
  <c r="L448" i="1"/>
  <c r="J448" i="1"/>
  <c r="H448" i="1"/>
  <c r="M447" i="1"/>
  <c r="L447" i="1"/>
  <c r="H447" i="1"/>
  <c r="J447" i="1" s="1"/>
  <c r="M446" i="1"/>
  <c r="L446" i="1" s="1"/>
  <c r="J446" i="1"/>
  <c r="H446" i="1"/>
  <c r="M445" i="1"/>
  <c r="L445" i="1"/>
  <c r="J445" i="1"/>
  <c r="H445" i="1"/>
  <c r="M444" i="1"/>
  <c r="L444" i="1"/>
  <c r="H444" i="1"/>
  <c r="J444" i="1" s="1"/>
  <c r="M443" i="1"/>
  <c r="L443" i="1"/>
  <c r="H443" i="1"/>
  <c r="J443" i="1" s="1"/>
  <c r="M442" i="1"/>
  <c r="L442" i="1"/>
  <c r="H442" i="1"/>
  <c r="J442" i="1" s="1"/>
  <c r="M441" i="1"/>
  <c r="L441" i="1" s="1"/>
  <c r="H441" i="1"/>
  <c r="J441" i="1" s="1"/>
  <c r="M440" i="1"/>
  <c r="L440" i="1"/>
  <c r="H440" i="1"/>
  <c r="J440" i="1" s="1"/>
  <c r="M439" i="1"/>
  <c r="L439" i="1" s="1"/>
  <c r="H439" i="1"/>
  <c r="J439" i="1" s="1"/>
  <c r="M438" i="1"/>
  <c r="L438" i="1" s="1"/>
  <c r="J438" i="1"/>
  <c r="H438" i="1"/>
  <c r="M437" i="1"/>
  <c r="L437" i="1" s="1"/>
  <c r="H437" i="1"/>
  <c r="J437" i="1" s="1"/>
  <c r="M436" i="1"/>
  <c r="L436" i="1"/>
  <c r="H436" i="1"/>
  <c r="J436" i="1" s="1"/>
  <c r="M435" i="1"/>
  <c r="L435" i="1"/>
  <c r="H435" i="1"/>
  <c r="J435" i="1" s="1"/>
  <c r="M434" i="1"/>
  <c r="L434" i="1"/>
  <c r="H434" i="1"/>
  <c r="J434" i="1" s="1"/>
  <c r="M433" i="1"/>
  <c r="L433" i="1"/>
  <c r="J433" i="1"/>
  <c r="H433" i="1"/>
  <c r="M432" i="1"/>
  <c r="L432" i="1"/>
  <c r="H432" i="1"/>
  <c r="J432" i="1" s="1"/>
  <c r="M431" i="1"/>
  <c r="L431" i="1"/>
  <c r="H431" i="1"/>
  <c r="J431" i="1" s="1"/>
  <c r="M430" i="1"/>
  <c r="L430" i="1"/>
  <c r="J430" i="1"/>
  <c r="H430" i="1"/>
  <c r="M429" i="1"/>
  <c r="L429" i="1" s="1"/>
  <c r="J429" i="1"/>
  <c r="H429" i="1"/>
  <c r="M428" i="1"/>
  <c r="L428" i="1"/>
  <c r="H428" i="1"/>
  <c r="J428" i="1" s="1"/>
  <c r="M427" i="1"/>
  <c r="L427" i="1"/>
  <c r="H427" i="1"/>
  <c r="J427" i="1" s="1"/>
  <c r="M426" i="1"/>
  <c r="L426" i="1" s="1"/>
  <c r="H426" i="1"/>
  <c r="J426" i="1" s="1"/>
  <c r="M425" i="1"/>
  <c r="L425" i="1"/>
  <c r="H425" i="1"/>
  <c r="J425" i="1" s="1"/>
  <c r="M424" i="1"/>
  <c r="L424" i="1" s="1"/>
  <c r="J424" i="1"/>
  <c r="H424" i="1"/>
  <c r="M423" i="1"/>
  <c r="L423" i="1" s="1"/>
  <c r="H423" i="1"/>
  <c r="J423" i="1" s="1"/>
  <c r="M422" i="1"/>
  <c r="L422" i="1"/>
  <c r="H422" i="1"/>
  <c r="J422" i="1" s="1"/>
  <c r="M421" i="1"/>
  <c r="L421" i="1" s="1"/>
  <c r="J421" i="1"/>
  <c r="H421" i="1"/>
  <c r="M420" i="1"/>
  <c r="L420" i="1" s="1"/>
  <c r="H420" i="1"/>
  <c r="J420" i="1" s="1"/>
  <c r="M419" i="1"/>
  <c r="L419" i="1" s="1"/>
  <c r="H419" i="1"/>
  <c r="J419" i="1" s="1"/>
  <c r="M418" i="1"/>
  <c r="L418" i="1" s="1"/>
  <c r="J418" i="1"/>
  <c r="H418" i="1"/>
  <c r="M417" i="1"/>
  <c r="L417" i="1"/>
  <c r="H417" i="1"/>
  <c r="J417" i="1" s="1"/>
  <c r="M416" i="1"/>
  <c r="L416" i="1"/>
  <c r="J416" i="1"/>
  <c r="H416" i="1"/>
  <c r="M415" i="1"/>
  <c r="L415" i="1"/>
  <c r="H415" i="1"/>
  <c r="J415" i="1" s="1"/>
  <c r="M414" i="1"/>
  <c r="L414" i="1"/>
  <c r="J414" i="1"/>
  <c r="H414" i="1"/>
  <c r="M413" i="1"/>
  <c r="L413" i="1"/>
  <c r="J413" i="1"/>
  <c r="H413" i="1"/>
  <c r="M412" i="1"/>
  <c r="L412" i="1" s="1"/>
  <c r="J412" i="1"/>
  <c r="H412" i="1"/>
  <c r="M411" i="1"/>
  <c r="L411" i="1"/>
  <c r="H411" i="1"/>
  <c r="J411" i="1" s="1"/>
  <c r="M410" i="1"/>
  <c r="L410" i="1"/>
  <c r="H410" i="1"/>
  <c r="J410" i="1" s="1"/>
  <c r="M409" i="1"/>
  <c r="L409" i="1" s="1"/>
  <c r="H409" i="1"/>
  <c r="J409" i="1" s="1"/>
  <c r="M408" i="1"/>
  <c r="L408" i="1"/>
  <c r="H408" i="1"/>
  <c r="J408" i="1" s="1"/>
  <c r="M407" i="1"/>
  <c r="L407" i="1" s="1"/>
  <c r="H407" i="1"/>
  <c r="J407" i="1" s="1"/>
  <c r="M406" i="1"/>
  <c r="L406" i="1"/>
  <c r="J406" i="1"/>
  <c r="H406" i="1"/>
  <c r="M405" i="1"/>
  <c r="L405" i="1"/>
  <c r="H405" i="1"/>
  <c r="J405" i="1" s="1"/>
  <c r="M404" i="1"/>
  <c r="L404" i="1" s="1"/>
  <c r="J404" i="1"/>
  <c r="H404" i="1"/>
  <c r="M403" i="1"/>
  <c r="L403" i="1" s="1"/>
  <c r="H403" i="1"/>
  <c r="J403" i="1" s="1"/>
  <c r="M402" i="1"/>
  <c r="L402" i="1"/>
  <c r="H402" i="1"/>
  <c r="J402" i="1" s="1"/>
  <c r="M401" i="1"/>
  <c r="L401" i="1"/>
  <c r="J401" i="1"/>
  <c r="H401" i="1"/>
  <c r="M400" i="1"/>
  <c r="L400" i="1"/>
  <c r="H400" i="1"/>
  <c r="J400" i="1" s="1"/>
  <c r="M399" i="1"/>
  <c r="L399" i="1"/>
  <c r="H399" i="1"/>
  <c r="J399" i="1" s="1"/>
  <c r="M398" i="1"/>
  <c r="L398" i="1"/>
  <c r="H398" i="1"/>
  <c r="J398" i="1" s="1"/>
  <c r="M397" i="1"/>
  <c r="L397" i="1"/>
  <c r="H397" i="1"/>
  <c r="J397" i="1" s="1"/>
  <c r="M396" i="1"/>
  <c r="L396" i="1"/>
  <c r="J396" i="1"/>
  <c r="H396" i="1"/>
  <c r="M395" i="1"/>
  <c r="L395" i="1" s="1"/>
  <c r="H395" i="1"/>
  <c r="J395" i="1" s="1"/>
  <c r="M394" i="1"/>
  <c r="L394" i="1" s="1"/>
  <c r="J394" i="1"/>
  <c r="H394" i="1"/>
  <c r="M393" i="1"/>
  <c r="L393" i="1" s="1"/>
  <c r="J393" i="1"/>
  <c r="H393" i="1"/>
  <c r="M392" i="1"/>
  <c r="L392" i="1" s="1"/>
  <c r="H392" i="1"/>
  <c r="J392" i="1" s="1"/>
  <c r="M391" i="1"/>
  <c r="L391" i="1"/>
  <c r="H391" i="1"/>
  <c r="J391" i="1" s="1"/>
  <c r="M390" i="1"/>
  <c r="L390" i="1" s="1"/>
  <c r="H390" i="1"/>
  <c r="J390" i="1" s="1"/>
  <c r="M389" i="1"/>
  <c r="L389" i="1" s="1"/>
  <c r="H389" i="1"/>
  <c r="J389" i="1" s="1"/>
  <c r="M388" i="1"/>
  <c r="L388" i="1"/>
  <c r="H388" i="1"/>
  <c r="J388" i="1" s="1"/>
  <c r="M387" i="1"/>
  <c r="L387" i="1" s="1"/>
  <c r="H387" i="1"/>
  <c r="J387" i="1" s="1"/>
  <c r="M386" i="1"/>
  <c r="L386" i="1"/>
  <c r="J386" i="1"/>
  <c r="H386" i="1"/>
  <c r="M385" i="1"/>
  <c r="L385" i="1"/>
  <c r="H385" i="1"/>
  <c r="J385" i="1" s="1"/>
  <c r="M384" i="1"/>
  <c r="L384" i="1"/>
  <c r="J384" i="1"/>
  <c r="H384" i="1"/>
  <c r="M383" i="1"/>
  <c r="L383" i="1"/>
  <c r="H383" i="1"/>
  <c r="J383" i="1" s="1"/>
  <c r="M382" i="1"/>
  <c r="L382" i="1" s="1"/>
  <c r="J382" i="1"/>
  <c r="H382" i="1"/>
  <c r="M381" i="1"/>
  <c r="L381" i="1"/>
  <c r="H381" i="1"/>
  <c r="J381" i="1" s="1"/>
  <c r="M380" i="1"/>
  <c r="L380" i="1"/>
  <c r="H380" i="1"/>
  <c r="J380" i="1" s="1"/>
  <c r="M379" i="1"/>
  <c r="L379" i="1"/>
  <c r="H379" i="1"/>
  <c r="J379" i="1" s="1"/>
  <c r="M378" i="1"/>
  <c r="L378" i="1"/>
  <c r="H378" i="1"/>
  <c r="J378" i="1" s="1"/>
  <c r="M377" i="1"/>
  <c r="L377" i="1" s="1"/>
  <c r="H377" i="1"/>
  <c r="J377" i="1" s="1"/>
  <c r="M376" i="1"/>
  <c r="L376" i="1"/>
  <c r="H376" i="1"/>
  <c r="J376" i="1" s="1"/>
  <c r="M375" i="1"/>
  <c r="L375" i="1" s="1"/>
  <c r="H375" i="1"/>
  <c r="J375" i="1" s="1"/>
  <c r="M374" i="1"/>
  <c r="L374" i="1" s="1"/>
  <c r="J374" i="1"/>
  <c r="H374" i="1"/>
  <c r="M373" i="1"/>
  <c r="L373" i="1" s="1"/>
  <c r="H373" i="1"/>
  <c r="J373" i="1" s="1"/>
  <c r="M372" i="1"/>
  <c r="L372" i="1" s="1"/>
  <c r="H372" i="1"/>
  <c r="J372" i="1" s="1"/>
  <c r="M371" i="1"/>
  <c r="L371" i="1"/>
  <c r="H371" i="1"/>
  <c r="J371" i="1" s="1"/>
  <c r="M370" i="1"/>
  <c r="L370" i="1"/>
  <c r="H370" i="1"/>
  <c r="J370" i="1" s="1"/>
  <c r="M369" i="1"/>
  <c r="L369" i="1"/>
  <c r="J369" i="1"/>
  <c r="H369" i="1"/>
  <c r="M368" i="1"/>
  <c r="L368" i="1" s="1"/>
  <c r="J368" i="1"/>
  <c r="H368" i="1"/>
  <c r="M367" i="1"/>
  <c r="L367" i="1"/>
  <c r="H367" i="1"/>
  <c r="J367" i="1" s="1"/>
  <c r="M366" i="1"/>
  <c r="L366" i="1"/>
  <c r="J366" i="1"/>
  <c r="H366" i="1"/>
  <c r="M365" i="1"/>
  <c r="L365" i="1" s="1"/>
  <c r="J365" i="1"/>
  <c r="H365" i="1"/>
  <c r="M364" i="1"/>
  <c r="L364" i="1"/>
  <c r="J364" i="1"/>
  <c r="H364" i="1"/>
  <c r="M363" i="1"/>
  <c r="L363" i="1" s="1"/>
  <c r="H363" i="1"/>
  <c r="J363" i="1" s="1"/>
  <c r="M362" i="1"/>
  <c r="L362" i="1" s="1"/>
  <c r="H362" i="1"/>
  <c r="J362" i="1" s="1"/>
  <c r="M361" i="1"/>
  <c r="L361" i="1"/>
  <c r="H361" i="1"/>
  <c r="J361" i="1" s="1"/>
  <c r="M360" i="1"/>
  <c r="L360" i="1" s="1"/>
  <c r="H360" i="1"/>
  <c r="J360" i="1" s="1"/>
  <c r="M359" i="1"/>
  <c r="L359" i="1" s="1"/>
  <c r="H359" i="1"/>
  <c r="J359" i="1" s="1"/>
  <c r="M358" i="1"/>
  <c r="L358" i="1"/>
  <c r="H358" i="1"/>
  <c r="J358" i="1" s="1"/>
  <c r="M357" i="1"/>
  <c r="L357" i="1" s="1"/>
  <c r="J357" i="1"/>
  <c r="H357" i="1"/>
  <c r="M356" i="1"/>
  <c r="L356" i="1" s="1"/>
  <c r="H356" i="1"/>
  <c r="J356" i="1" s="1"/>
  <c r="M355" i="1"/>
  <c r="L355" i="1"/>
  <c r="H355" i="1"/>
  <c r="J355" i="1" s="1"/>
  <c r="M354" i="1"/>
  <c r="L354" i="1"/>
  <c r="J354" i="1"/>
  <c r="H354" i="1"/>
  <c r="M353" i="1"/>
  <c r="L353" i="1" s="1"/>
  <c r="H353" i="1"/>
  <c r="J353" i="1" s="1"/>
  <c r="M352" i="1"/>
  <c r="L352" i="1"/>
  <c r="J352" i="1"/>
  <c r="H352" i="1"/>
  <c r="M351" i="1"/>
  <c r="L351" i="1" s="1"/>
  <c r="H351" i="1"/>
  <c r="J351" i="1" s="1"/>
  <c r="M350" i="1"/>
  <c r="L350" i="1"/>
  <c r="H350" i="1"/>
  <c r="J350" i="1" s="1"/>
  <c r="M349" i="1"/>
  <c r="L349" i="1"/>
  <c r="J349" i="1"/>
  <c r="H349" i="1"/>
  <c r="M348" i="1"/>
  <c r="L348" i="1" s="1"/>
  <c r="J348" i="1"/>
  <c r="H348" i="1"/>
  <c r="M347" i="1"/>
  <c r="L347" i="1"/>
  <c r="H347" i="1"/>
  <c r="J347" i="1" s="1"/>
  <c r="M346" i="1"/>
  <c r="L346" i="1" s="1"/>
  <c r="H346" i="1"/>
  <c r="J346" i="1" s="1"/>
  <c r="M345" i="1"/>
  <c r="L345" i="1" s="1"/>
  <c r="H345" i="1"/>
  <c r="J345" i="1" s="1"/>
  <c r="M344" i="1"/>
  <c r="L344" i="1"/>
  <c r="H344" i="1"/>
  <c r="J344" i="1" s="1"/>
  <c r="M343" i="1"/>
  <c r="L343" i="1" s="1"/>
  <c r="H343" i="1"/>
  <c r="J343" i="1" s="1"/>
  <c r="M342" i="1"/>
  <c r="L342" i="1"/>
  <c r="H342" i="1"/>
  <c r="J342" i="1" s="1"/>
  <c r="M341" i="1"/>
  <c r="L341" i="1" s="1"/>
  <c r="H341" i="1"/>
  <c r="J341" i="1" s="1"/>
  <c r="M340" i="1"/>
  <c r="L340" i="1" s="1"/>
  <c r="J340" i="1"/>
  <c r="H340" i="1"/>
  <c r="M339" i="1"/>
  <c r="L339" i="1" s="1"/>
  <c r="H339" i="1"/>
  <c r="J339" i="1" s="1"/>
  <c r="M338" i="1"/>
  <c r="L338" i="1" s="1"/>
  <c r="J338" i="1"/>
  <c r="H338" i="1"/>
  <c r="M337" i="1"/>
  <c r="L337" i="1"/>
  <c r="J337" i="1"/>
  <c r="H337" i="1"/>
  <c r="M336" i="1"/>
  <c r="L336" i="1"/>
  <c r="H336" i="1"/>
  <c r="J336" i="1" s="1"/>
  <c r="M335" i="1"/>
  <c r="L335" i="1"/>
  <c r="H335" i="1"/>
  <c r="J335" i="1" s="1"/>
  <c r="M334" i="1"/>
  <c r="L334" i="1"/>
  <c r="J334" i="1"/>
  <c r="H334" i="1"/>
  <c r="M333" i="1"/>
  <c r="L333" i="1" s="1"/>
  <c r="H333" i="1"/>
  <c r="J333" i="1" s="1"/>
  <c r="M332" i="1"/>
  <c r="L332" i="1"/>
  <c r="J332" i="1"/>
  <c r="H332" i="1"/>
  <c r="M331" i="1"/>
  <c r="L331" i="1" s="1"/>
  <c r="H331" i="1"/>
  <c r="J331" i="1" s="1"/>
  <c r="M330" i="1"/>
  <c r="L330" i="1" s="1"/>
  <c r="H330" i="1"/>
  <c r="J330" i="1" s="1"/>
  <c r="M329" i="1"/>
  <c r="L329" i="1"/>
  <c r="H329" i="1"/>
  <c r="J329" i="1" s="1"/>
  <c r="M328" i="1"/>
  <c r="L328" i="1" s="1"/>
  <c r="H328" i="1"/>
  <c r="J328" i="1" s="1"/>
  <c r="M327" i="1"/>
  <c r="L327" i="1"/>
  <c r="H327" i="1"/>
  <c r="J327" i="1" s="1"/>
  <c r="M326" i="1"/>
  <c r="L326" i="1" s="1"/>
  <c r="H326" i="1"/>
  <c r="J326" i="1" s="1"/>
  <c r="M325" i="1"/>
  <c r="L325" i="1" s="1"/>
  <c r="H325" i="1"/>
  <c r="J325" i="1" s="1"/>
  <c r="M324" i="1"/>
  <c r="L324" i="1"/>
  <c r="H324" i="1"/>
  <c r="J324" i="1" s="1"/>
  <c r="M323" i="1"/>
  <c r="L323" i="1" s="1"/>
  <c r="H323" i="1"/>
  <c r="J323" i="1" s="1"/>
  <c r="M322" i="1"/>
  <c r="L322" i="1"/>
  <c r="J322" i="1"/>
  <c r="H322" i="1"/>
  <c r="M321" i="1"/>
  <c r="L321" i="1"/>
  <c r="H321" i="1"/>
  <c r="J321" i="1" s="1"/>
  <c r="M320" i="1"/>
  <c r="L320" i="1"/>
  <c r="J320" i="1"/>
  <c r="H320" i="1"/>
  <c r="M319" i="1"/>
  <c r="L319" i="1" s="1"/>
  <c r="H319" i="1"/>
  <c r="J319" i="1" s="1"/>
  <c r="M318" i="1"/>
  <c r="L318" i="1" s="1"/>
  <c r="J318" i="1"/>
  <c r="H318" i="1"/>
  <c r="M317" i="1"/>
  <c r="L317" i="1"/>
  <c r="H317" i="1"/>
  <c r="J317" i="1" s="1"/>
  <c r="M316" i="1"/>
  <c r="L316" i="1"/>
  <c r="H316" i="1"/>
  <c r="J316" i="1" s="1"/>
  <c r="M315" i="1"/>
  <c r="L315" i="1"/>
  <c r="H315" i="1"/>
  <c r="J315" i="1" s="1"/>
  <c r="M314" i="1"/>
  <c r="L314" i="1"/>
  <c r="H314" i="1"/>
  <c r="J314" i="1" s="1"/>
  <c r="M313" i="1"/>
  <c r="L313" i="1" s="1"/>
  <c r="H313" i="1"/>
  <c r="J313" i="1" s="1"/>
  <c r="M312" i="1"/>
  <c r="L312" i="1"/>
  <c r="H312" i="1"/>
  <c r="J312" i="1" s="1"/>
  <c r="M311" i="1"/>
  <c r="L311" i="1" s="1"/>
  <c r="H311" i="1"/>
  <c r="J311" i="1" s="1"/>
  <c r="M310" i="1"/>
  <c r="L310" i="1" s="1"/>
  <c r="J310" i="1"/>
  <c r="H310" i="1"/>
  <c r="M309" i="1"/>
  <c r="L309" i="1" s="1"/>
  <c r="H309" i="1"/>
  <c r="J309" i="1" s="1"/>
  <c r="M308" i="1"/>
  <c r="L308" i="1" s="1"/>
  <c r="H308" i="1"/>
  <c r="J308" i="1" s="1"/>
  <c r="M307" i="1"/>
  <c r="L307" i="1"/>
  <c r="H307" i="1"/>
  <c r="J307" i="1" s="1"/>
  <c r="M306" i="1"/>
  <c r="L306" i="1" s="1"/>
  <c r="J306" i="1"/>
  <c r="H306" i="1"/>
  <c r="M305" i="1"/>
  <c r="L305" i="1" s="1"/>
  <c r="H305" i="1"/>
  <c r="J305" i="1" s="1"/>
  <c r="M304" i="1"/>
  <c r="L304" i="1" s="1"/>
  <c r="J304" i="1"/>
  <c r="H304" i="1"/>
  <c r="M303" i="1"/>
  <c r="L303" i="1" s="1"/>
  <c r="H303" i="1"/>
  <c r="J303" i="1" s="1"/>
  <c r="M302" i="1"/>
  <c r="L302" i="1" s="1"/>
  <c r="J302" i="1"/>
  <c r="H302" i="1"/>
  <c r="M301" i="1"/>
  <c r="L301" i="1" s="1"/>
  <c r="H301" i="1"/>
  <c r="J301" i="1" s="1"/>
  <c r="M300" i="1"/>
  <c r="L300" i="1" s="1"/>
  <c r="H300" i="1"/>
  <c r="J300" i="1" s="1"/>
  <c r="M299" i="1"/>
  <c r="L299" i="1" s="1"/>
  <c r="H299" i="1"/>
  <c r="J299" i="1" s="1"/>
  <c r="M298" i="1"/>
  <c r="L298" i="1" s="1"/>
  <c r="J298" i="1"/>
  <c r="H298" i="1"/>
  <c r="M297" i="1"/>
  <c r="L297" i="1" s="1"/>
  <c r="H297" i="1"/>
  <c r="J297" i="1" s="1"/>
  <c r="M296" i="1"/>
  <c r="L296" i="1"/>
  <c r="H296" i="1"/>
  <c r="J296" i="1" s="1"/>
  <c r="M295" i="1"/>
  <c r="L295" i="1"/>
  <c r="H295" i="1"/>
  <c r="J295" i="1" s="1"/>
  <c r="M294" i="1"/>
  <c r="L294" i="1" s="1"/>
  <c r="J294" i="1"/>
  <c r="H294" i="1"/>
  <c r="M293" i="1"/>
  <c r="L293" i="1" s="1"/>
  <c r="H293" i="1"/>
  <c r="J293" i="1" s="1"/>
  <c r="M292" i="1"/>
  <c r="L292" i="1"/>
  <c r="H292" i="1"/>
  <c r="J292" i="1" s="1"/>
  <c r="M291" i="1"/>
  <c r="L291" i="1"/>
  <c r="J291" i="1"/>
  <c r="H291" i="1"/>
  <c r="M290" i="1"/>
  <c r="L290" i="1" s="1"/>
  <c r="J290" i="1"/>
  <c r="H290" i="1"/>
  <c r="M289" i="1"/>
  <c r="L289" i="1" s="1"/>
  <c r="H289" i="1"/>
  <c r="J289" i="1" s="1"/>
  <c r="M288" i="1"/>
  <c r="L288" i="1" s="1"/>
  <c r="J288" i="1"/>
  <c r="H288" i="1"/>
  <c r="M287" i="1"/>
  <c r="L287" i="1"/>
  <c r="H287" i="1"/>
  <c r="J287" i="1" s="1"/>
  <c r="M286" i="1"/>
  <c r="L286" i="1" s="1"/>
  <c r="J286" i="1"/>
  <c r="H286" i="1"/>
  <c r="M285" i="1"/>
  <c r="L285" i="1" s="1"/>
  <c r="H285" i="1"/>
  <c r="J285" i="1" s="1"/>
  <c r="M284" i="1"/>
  <c r="L284" i="1"/>
  <c r="H284" i="1"/>
  <c r="J284" i="1" s="1"/>
  <c r="M283" i="1"/>
  <c r="L283" i="1"/>
  <c r="H283" i="1"/>
  <c r="J283" i="1" s="1"/>
  <c r="M282" i="1"/>
  <c r="L282" i="1" s="1"/>
  <c r="J282" i="1"/>
  <c r="H282" i="1"/>
  <c r="M281" i="1"/>
  <c r="L281" i="1" s="1"/>
  <c r="H281" i="1"/>
  <c r="J281" i="1" s="1"/>
  <c r="M280" i="1"/>
  <c r="L280" i="1" s="1"/>
  <c r="H280" i="1"/>
  <c r="J280" i="1" s="1"/>
  <c r="M279" i="1"/>
  <c r="L279" i="1" s="1"/>
  <c r="H279" i="1"/>
  <c r="J279" i="1" s="1"/>
  <c r="M278" i="1"/>
  <c r="L278" i="1" s="1"/>
  <c r="J278" i="1"/>
  <c r="H278" i="1"/>
  <c r="M277" i="1"/>
  <c r="L277" i="1" s="1"/>
  <c r="H277" i="1"/>
  <c r="J277" i="1" s="1"/>
  <c r="M276" i="1"/>
  <c r="L276" i="1"/>
  <c r="H276" i="1"/>
  <c r="J276" i="1" s="1"/>
  <c r="M275" i="1"/>
  <c r="L275" i="1" s="1"/>
  <c r="H275" i="1"/>
  <c r="J275" i="1" s="1"/>
  <c r="M274" i="1"/>
  <c r="L274" i="1" s="1"/>
  <c r="J274" i="1"/>
  <c r="H274" i="1"/>
  <c r="M273" i="1"/>
  <c r="L273" i="1" s="1"/>
  <c r="H273" i="1"/>
  <c r="J273" i="1" s="1"/>
  <c r="M272" i="1"/>
  <c r="L272" i="1"/>
  <c r="H272" i="1"/>
  <c r="J272" i="1" s="1"/>
  <c r="M271" i="1"/>
  <c r="L271" i="1" s="1"/>
  <c r="H271" i="1"/>
  <c r="J271" i="1" s="1"/>
  <c r="M270" i="1"/>
  <c r="L270" i="1" s="1"/>
  <c r="J270" i="1"/>
  <c r="H270" i="1"/>
  <c r="M269" i="1"/>
  <c r="L269" i="1" s="1"/>
  <c r="H269" i="1"/>
  <c r="J269" i="1" s="1"/>
  <c r="M268" i="1"/>
  <c r="L268" i="1"/>
  <c r="J268" i="1"/>
  <c r="H268" i="1"/>
  <c r="M267" i="1"/>
  <c r="L267" i="1"/>
  <c r="J267" i="1"/>
  <c r="H267" i="1"/>
  <c r="M266" i="1"/>
  <c r="L266" i="1" s="1"/>
  <c r="J266" i="1"/>
  <c r="H266" i="1"/>
  <c r="M265" i="1"/>
  <c r="L265" i="1" s="1"/>
  <c r="H265" i="1"/>
  <c r="J265" i="1" s="1"/>
  <c r="M264" i="1"/>
  <c r="L264" i="1" s="1"/>
  <c r="H264" i="1"/>
  <c r="J264" i="1" s="1"/>
  <c r="M263" i="1"/>
  <c r="L263" i="1" s="1"/>
  <c r="H263" i="1"/>
  <c r="J263" i="1" s="1"/>
  <c r="M262" i="1"/>
  <c r="L262" i="1" s="1"/>
  <c r="J262" i="1"/>
  <c r="H262" i="1"/>
  <c r="M261" i="1"/>
  <c r="L261" i="1" s="1"/>
  <c r="H261" i="1"/>
  <c r="J261" i="1" s="1"/>
  <c r="M260" i="1"/>
  <c r="L260" i="1" s="1"/>
  <c r="H260" i="1"/>
  <c r="J260" i="1" s="1"/>
  <c r="M259" i="1"/>
  <c r="L259" i="1"/>
  <c r="H259" i="1"/>
  <c r="J259" i="1" s="1"/>
  <c r="M258" i="1"/>
  <c r="L258" i="1" s="1"/>
  <c r="J258" i="1"/>
  <c r="H258" i="1"/>
  <c r="M257" i="1"/>
  <c r="L257" i="1" s="1"/>
  <c r="H257" i="1"/>
  <c r="J257" i="1" s="1"/>
  <c r="M256" i="1"/>
  <c r="L256" i="1"/>
  <c r="J256" i="1"/>
  <c r="H256" i="1"/>
  <c r="M255" i="1"/>
  <c r="L255" i="1"/>
  <c r="J255" i="1"/>
  <c r="H255" i="1"/>
  <c r="M254" i="1"/>
  <c r="L254" i="1" s="1"/>
  <c r="J254" i="1"/>
  <c r="H254" i="1"/>
  <c r="M253" i="1"/>
  <c r="L253" i="1" s="1"/>
  <c r="H253" i="1"/>
  <c r="J253" i="1" s="1"/>
  <c r="M252" i="1"/>
  <c r="L252" i="1"/>
  <c r="J252" i="1"/>
  <c r="H252" i="1"/>
  <c r="M251" i="1"/>
  <c r="L251" i="1"/>
  <c r="J251" i="1"/>
  <c r="H251" i="1"/>
  <c r="M250" i="1"/>
  <c r="L250" i="1" s="1"/>
  <c r="J250" i="1"/>
  <c r="H250" i="1"/>
  <c r="M249" i="1"/>
  <c r="L249" i="1" s="1"/>
  <c r="H249" i="1"/>
  <c r="J249" i="1" s="1"/>
  <c r="M248" i="1"/>
  <c r="L248" i="1" s="1"/>
  <c r="H248" i="1"/>
  <c r="J248" i="1" s="1"/>
  <c r="M247" i="1"/>
  <c r="L247" i="1"/>
  <c r="H247" i="1"/>
  <c r="J247" i="1" s="1"/>
  <c r="M246" i="1"/>
  <c r="L246" i="1" s="1"/>
  <c r="J246" i="1"/>
  <c r="H246" i="1"/>
  <c r="M245" i="1"/>
  <c r="L245" i="1" s="1"/>
  <c r="H245" i="1"/>
  <c r="J245" i="1" s="1"/>
  <c r="M244" i="1"/>
  <c r="L244" i="1"/>
  <c r="H244" i="1"/>
  <c r="J244" i="1" s="1"/>
  <c r="M243" i="1"/>
  <c r="L243" i="1" s="1"/>
  <c r="H243" i="1"/>
  <c r="J243" i="1" s="1"/>
  <c r="M242" i="1"/>
  <c r="L242" i="1" s="1"/>
  <c r="J242" i="1"/>
  <c r="H242" i="1"/>
  <c r="M241" i="1"/>
  <c r="L241" i="1" s="1"/>
  <c r="H241" i="1"/>
  <c r="J241" i="1" s="1"/>
  <c r="M240" i="1"/>
  <c r="L240" i="1"/>
  <c r="J240" i="1"/>
  <c r="H240" i="1"/>
  <c r="M239" i="1"/>
  <c r="L239" i="1" s="1"/>
  <c r="J239" i="1"/>
  <c r="H239" i="1"/>
  <c r="M238" i="1"/>
  <c r="L238" i="1" s="1"/>
  <c r="J238" i="1"/>
  <c r="H238" i="1"/>
  <c r="M237" i="1"/>
  <c r="L237" i="1" s="1"/>
  <c r="H237" i="1"/>
  <c r="J237" i="1" s="1"/>
  <c r="M236" i="1"/>
  <c r="L236" i="1"/>
  <c r="J236" i="1"/>
  <c r="H236" i="1"/>
  <c r="M235" i="1"/>
  <c r="L235" i="1"/>
  <c r="H235" i="1"/>
  <c r="J235" i="1" s="1"/>
  <c r="M234" i="1"/>
  <c r="L234" i="1" s="1"/>
  <c r="J234" i="1"/>
  <c r="H234" i="1"/>
  <c r="M233" i="1"/>
  <c r="L233" i="1" s="1"/>
  <c r="H233" i="1"/>
  <c r="J233" i="1" s="1"/>
  <c r="M232" i="1"/>
  <c r="L232" i="1"/>
  <c r="H232" i="1"/>
  <c r="J232" i="1" s="1"/>
  <c r="M231" i="1"/>
  <c r="L231" i="1"/>
  <c r="H231" i="1"/>
  <c r="J231" i="1" s="1"/>
  <c r="M230" i="1"/>
  <c r="L230" i="1" s="1"/>
  <c r="J230" i="1"/>
  <c r="H230" i="1"/>
  <c r="M229" i="1"/>
  <c r="L229" i="1" s="1"/>
  <c r="H229" i="1"/>
  <c r="J229" i="1" s="1"/>
  <c r="M228" i="1"/>
  <c r="L228" i="1" s="1"/>
  <c r="H228" i="1"/>
  <c r="J228" i="1" s="1"/>
  <c r="M227" i="1"/>
  <c r="L227" i="1"/>
  <c r="J227" i="1"/>
  <c r="H227" i="1"/>
  <c r="M226" i="1"/>
  <c r="L226" i="1" s="1"/>
  <c r="J226" i="1"/>
  <c r="H226" i="1"/>
  <c r="M225" i="1"/>
  <c r="L225" i="1" s="1"/>
  <c r="H225" i="1"/>
  <c r="J225" i="1" s="1"/>
  <c r="M224" i="1"/>
  <c r="L224" i="1"/>
  <c r="J224" i="1"/>
  <c r="H224" i="1"/>
  <c r="M223" i="1"/>
  <c r="L223" i="1"/>
  <c r="H223" i="1"/>
  <c r="J223" i="1" s="1"/>
  <c r="M222" i="1"/>
  <c r="L222" i="1" s="1"/>
  <c r="J222" i="1"/>
  <c r="H222" i="1"/>
  <c r="M221" i="1"/>
  <c r="L221" i="1" s="1"/>
  <c r="H221" i="1"/>
  <c r="J221" i="1" s="1"/>
  <c r="M220" i="1"/>
  <c r="L220" i="1" s="1"/>
  <c r="H220" i="1"/>
  <c r="J220" i="1" s="1"/>
  <c r="M219" i="1"/>
  <c r="L219" i="1" s="1"/>
  <c r="H219" i="1"/>
  <c r="J219" i="1" s="1"/>
  <c r="M218" i="1"/>
  <c r="L218" i="1" s="1"/>
  <c r="J218" i="1"/>
  <c r="H218" i="1"/>
  <c r="M217" i="1"/>
  <c r="L217" i="1"/>
  <c r="H217" i="1"/>
  <c r="J217" i="1" s="1"/>
  <c r="M216" i="1"/>
  <c r="L216" i="1"/>
  <c r="J216" i="1"/>
  <c r="H216" i="1"/>
  <c r="M215" i="1"/>
  <c r="L215" i="1"/>
  <c r="J215" i="1"/>
  <c r="H215" i="1"/>
  <c r="M214" i="1"/>
  <c r="L214" i="1" s="1"/>
  <c r="J214" i="1"/>
  <c r="H214" i="1"/>
  <c r="M213" i="1"/>
  <c r="L213" i="1" s="1"/>
  <c r="H213" i="1"/>
  <c r="J213" i="1" s="1"/>
  <c r="M212" i="1"/>
  <c r="L212" i="1" s="1"/>
  <c r="H212" i="1"/>
  <c r="J212" i="1" s="1"/>
  <c r="M211" i="1"/>
  <c r="L211" i="1" s="1"/>
  <c r="H211" i="1"/>
  <c r="J211" i="1" s="1"/>
  <c r="M210" i="1"/>
  <c r="L210" i="1" s="1"/>
  <c r="J210" i="1"/>
  <c r="H210" i="1"/>
  <c r="M209" i="1"/>
  <c r="L209" i="1"/>
  <c r="H209" i="1"/>
  <c r="J209" i="1" s="1"/>
  <c r="M208" i="1"/>
  <c r="L208" i="1"/>
  <c r="J208" i="1"/>
  <c r="H208" i="1"/>
  <c r="M207" i="1"/>
  <c r="L207" i="1"/>
  <c r="J207" i="1"/>
  <c r="H207" i="1"/>
  <c r="M206" i="1"/>
  <c r="L206" i="1" s="1"/>
  <c r="J206" i="1"/>
  <c r="H206" i="1"/>
  <c r="M205" i="1"/>
  <c r="L205" i="1" s="1"/>
  <c r="H205" i="1"/>
  <c r="J205" i="1" s="1"/>
  <c r="M204" i="1"/>
  <c r="L204" i="1"/>
  <c r="H204" i="1"/>
  <c r="J204" i="1" s="1"/>
  <c r="M203" i="1"/>
  <c r="L203" i="1"/>
  <c r="H203" i="1"/>
  <c r="J203" i="1" s="1"/>
  <c r="M202" i="1"/>
  <c r="L202" i="1" s="1"/>
  <c r="J202" i="1"/>
  <c r="H202" i="1"/>
  <c r="M201" i="1"/>
  <c r="L201" i="1"/>
  <c r="H201" i="1"/>
  <c r="J201" i="1" s="1"/>
  <c r="M200" i="1"/>
  <c r="L200" i="1"/>
  <c r="H200" i="1"/>
  <c r="J200" i="1" s="1"/>
  <c r="M199" i="1"/>
  <c r="L199" i="1"/>
  <c r="H199" i="1"/>
  <c r="J199" i="1" s="1"/>
  <c r="M198" i="1"/>
  <c r="L198" i="1" s="1"/>
  <c r="J198" i="1"/>
  <c r="H198" i="1"/>
  <c r="M197" i="1"/>
  <c r="L197" i="1"/>
  <c r="H197" i="1"/>
  <c r="J197" i="1" s="1"/>
  <c r="M196" i="1"/>
  <c r="L196" i="1" s="1"/>
  <c r="H196" i="1"/>
  <c r="J196" i="1" s="1"/>
  <c r="M195" i="1"/>
  <c r="L195" i="1"/>
  <c r="H195" i="1"/>
  <c r="J195" i="1" s="1"/>
  <c r="M194" i="1"/>
  <c r="L194" i="1" s="1"/>
  <c r="J194" i="1"/>
  <c r="H194" i="1"/>
  <c r="M193" i="1"/>
  <c r="L193" i="1"/>
  <c r="H193" i="1"/>
  <c r="J193" i="1" s="1"/>
  <c r="M192" i="1"/>
  <c r="L192" i="1"/>
  <c r="J192" i="1"/>
  <c r="H192" i="1"/>
  <c r="M191" i="1"/>
  <c r="L191" i="1"/>
  <c r="H191" i="1"/>
  <c r="J191" i="1" s="1"/>
  <c r="M190" i="1"/>
  <c r="L190" i="1" s="1"/>
  <c r="J190" i="1"/>
  <c r="H190" i="1"/>
  <c r="M189" i="1"/>
  <c r="L189" i="1" s="1"/>
  <c r="H189" i="1"/>
  <c r="J189" i="1" s="1"/>
  <c r="M188" i="1"/>
  <c r="L188" i="1" s="1"/>
  <c r="H188" i="1"/>
  <c r="J188" i="1" s="1"/>
  <c r="M187" i="1"/>
  <c r="L187" i="1" s="1"/>
  <c r="H187" i="1"/>
  <c r="J187" i="1" s="1"/>
  <c r="M186" i="1"/>
  <c r="L186" i="1" s="1"/>
  <c r="H186" i="1"/>
  <c r="J186" i="1" s="1"/>
  <c r="M185" i="1"/>
  <c r="L185" i="1"/>
  <c r="H185" i="1"/>
  <c r="J185" i="1" s="1"/>
  <c r="M184" i="1"/>
  <c r="L184" i="1"/>
  <c r="J184" i="1"/>
  <c r="H184" i="1"/>
  <c r="M183" i="1"/>
  <c r="L183" i="1"/>
  <c r="J183" i="1"/>
  <c r="H183" i="1"/>
  <c r="M182" i="1"/>
  <c r="L182" i="1" s="1"/>
  <c r="H182" i="1"/>
  <c r="J182" i="1" s="1"/>
  <c r="M181" i="1"/>
  <c r="L181" i="1"/>
  <c r="H181" i="1"/>
  <c r="J181" i="1" s="1"/>
  <c r="M180" i="1"/>
  <c r="L180" i="1"/>
  <c r="H180" i="1"/>
  <c r="J180" i="1" s="1"/>
  <c r="M179" i="1"/>
  <c r="L179" i="1" s="1"/>
  <c r="H179" i="1"/>
  <c r="J179" i="1" s="1"/>
  <c r="M178" i="1"/>
  <c r="L178" i="1" s="1"/>
  <c r="J178" i="1"/>
  <c r="H178" i="1"/>
  <c r="M177" i="1"/>
  <c r="L177" i="1"/>
  <c r="H177" i="1"/>
  <c r="J177" i="1" s="1"/>
  <c r="M176" i="1"/>
  <c r="L176" i="1"/>
  <c r="H176" i="1"/>
  <c r="J176" i="1" s="1"/>
  <c r="M175" i="1"/>
  <c r="L175" i="1"/>
  <c r="J175" i="1"/>
  <c r="H175" i="1"/>
  <c r="M174" i="1"/>
  <c r="L174" i="1" s="1"/>
  <c r="H174" i="1"/>
  <c r="J174" i="1" s="1"/>
  <c r="M173" i="1"/>
  <c r="L173" i="1" s="1"/>
  <c r="H173" i="1"/>
  <c r="J173" i="1" s="1"/>
  <c r="M172" i="1"/>
  <c r="L172" i="1"/>
  <c r="H172" i="1"/>
  <c r="J172" i="1" s="1"/>
  <c r="M171" i="1"/>
  <c r="L171" i="1"/>
  <c r="H171" i="1"/>
  <c r="J171" i="1" s="1"/>
  <c r="M170" i="1"/>
  <c r="L170" i="1" s="1"/>
  <c r="H170" i="1"/>
  <c r="J170" i="1" s="1"/>
  <c r="M169" i="1"/>
  <c r="L169" i="1"/>
  <c r="H169" i="1"/>
  <c r="J169" i="1" s="1"/>
  <c r="M168" i="1"/>
  <c r="L168" i="1"/>
  <c r="H168" i="1"/>
  <c r="J168" i="1" s="1"/>
  <c r="M167" i="1"/>
  <c r="L167" i="1"/>
  <c r="H167" i="1"/>
  <c r="J167" i="1" s="1"/>
  <c r="M166" i="1"/>
  <c r="L166" i="1" s="1"/>
  <c r="H166" i="1"/>
  <c r="J166" i="1" s="1"/>
  <c r="M165" i="1"/>
  <c r="L165" i="1"/>
  <c r="H165" i="1"/>
  <c r="J165" i="1" s="1"/>
  <c r="M164" i="1"/>
  <c r="L164" i="1" s="1"/>
  <c r="H164" i="1"/>
  <c r="J164" i="1" s="1"/>
  <c r="M163" i="1"/>
  <c r="L163" i="1"/>
  <c r="J163" i="1"/>
  <c r="H163" i="1"/>
  <c r="M162" i="1"/>
  <c r="L162" i="1" s="1"/>
  <c r="J162" i="1"/>
  <c r="H162" i="1"/>
  <c r="M161" i="1"/>
  <c r="L161" i="1"/>
  <c r="H161" i="1"/>
  <c r="J161" i="1" s="1"/>
  <c r="M160" i="1"/>
  <c r="L160" i="1"/>
  <c r="J160" i="1"/>
  <c r="H160" i="1"/>
  <c r="M159" i="1"/>
  <c r="L159" i="1"/>
  <c r="H159" i="1"/>
  <c r="J159" i="1" s="1"/>
  <c r="M158" i="1"/>
  <c r="L158" i="1" s="1"/>
  <c r="J158" i="1"/>
  <c r="H158" i="1"/>
  <c r="M157" i="1"/>
  <c r="L157" i="1" s="1"/>
  <c r="H157" i="1"/>
  <c r="J157" i="1" s="1"/>
  <c r="M156" i="1"/>
  <c r="L156" i="1" s="1"/>
  <c r="H156" i="1"/>
  <c r="J156" i="1" s="1"/>
  <c r="M155" i="1"/>
  <c r="L155" i="1" s="1"/>
  <c r="H155" i="1"/>
  <c r="J155" i="1" s="1"/>
  <c r="M154" i="1"/>
  <c r="L154" i="1" s="1"/>
  <c r="J154" i="1"/>
  <c r="H154" i="1"/>
  <c r="M153" i="1"/>
  <c r="L153" i="1"/>
  <c r="J153" i="1"/>
  <c r="H153" i="1"/>
  <c r="M152" i="1"/>
  <c r="L152" i="1"/>
  <c r="H152" i="1"/>
  <c r="J152" i="1" s="1"/>
  <c r="M151" i="1"/>
  <c r="L151" i="1"/>
  <c r="J151" i="1"/>
  <c r="H151" i="1"/>
  <c r="M150" i="1"/>
  <c r="L150" i="1" s="1"/>
  <c r="H150" i="1"/>
  <c r="J150" i="1" s="1"/>
  <c r="M149" i="1"/>
  <c r="L149" i="1"/>
  <c r="H149" i="1"/>
  <c r="J149" i="1" s="1"/>
  <c r="M148" i="1"/>
  <c r="L148" i="1"/>
  <c r="J148" i="1"/>
  <c r="H148" i="1"/>
  <c r="M147" i="1"/>
  <c r="L147" i="1"/>
  <c r="J147" i="1"/>
  <c r="H147" i="1"/>
  <c r="M146" i="1"/>
  <c r="L146" i="1" s="1"/>
  <c r="H146" i="1"/>
  <c r="J146" i="1" s="1"/>
  <c r="M145" i="1"/>
  <c r="L145" i="1"/>
  <c r="H145" i="1"/>
  <c r="J145" i="1" s="1"/>
  <c r="M144" i="1"/>
  <c r="L144" i="1" s="1"/>
  <c r="H144" i="1"/>
  <c r="J144" i="1" s="1"/>
  <c r="M143" i="1"/>
  <c r="L143" i="1"/>
  <c r="H143" i="1"/>
  <c r="J143" i="1" s="1"/>
  <c r="M142" i="1"/>
  <c r="L142" i="1" s="1"/>
  <c r="H142" i="1"/>
  <c r="J142" i="1" s="1"/>
  <c r="M141" i="1"/>
  <c r="L141" i="1"/>
  <c r="H141" i="1"/>
  <c r="J141" i="1" s="1"/>
  <c r="M140" i="1"/>
  <c r="L140" i="1"/>
  <c r="H140" i="1"/>
  <c r="J140" i="1" s="1"/>
  <c r="M139" i="1"/>
  <c r="L139" i="1" s="1"/>
  <c r="H139" i="1"/>
  <c r="J139" i="1" s="1"/>
  <c r="M138" i="1"/>
  <c r="L138" i="1" s="1"/>
  <c r="J138" i="1"/>
  <c r="H138" i="1"/>
  <c r="M137" i="1"/>
  <c r="L137" i="1"/>
  <c r="H137" i="1"/>
  <c r="J137" i="1" s="1"/>
  <c r="M136" i="1"/>
  <c r="L136" i="1" s="1"/>
  <c r="J136" i="1"/>
  <c r="H136" i="1"/>
  <c r="M135" i="1"/>
  <c r="L135" i="1"/>
  <c r="H135" i="1"/>
  <c r="J135" i="1" s="1"/>
  <c r="M134" i="1"/>
  <c r="L134" i="1" s="1"/>
  <c r="J134" i="1"/>
  <c r="H134" i="1"/>
  <c r="M133" i="1"/>
  <c r="L133" i="1"/>
  <c r="H133" i="1"/>
  <c r="J133" i="1" s="1"/>
  <c r="M132" i="1"/>
  <c r="L132" i="1" s="1"/>
  <c r="J132" i="1"/>
  <c r="H132" i="1"/>
  <c r="M131" i="1"/>
  <c r="L131" i="1"/>
  <c r="J131" i="1"/>
  <c r="H131" i="1"/>
  <c r="M130" i="1"/>
  <c r="L130" i="1" s="1"/>
  <c r="H130" i="1"/>
  <c r="J130" i="1" s="1"/>
  <c r="M129" i="1"/>
  <c r="L129" i="1" s="1"/>
  <c r="H129" i="1"/>
  <c r="J129" i="1" s="1"/>
  <c r="M128" i="1"/>
  <c r="L128" i="1"/>
  <c r="J128" i="1"/>
  <c r="H128" i="1"/>
  <c r="M127" i="1"/>
  <c r="L127" i="1" s="1"/>
  <c r="H127" i="1"/>
  <c r="J127" i="1" s="1"/>
  <c r="M126" i="1"/>
  <c r="L126" i="1"/>
  <c r="H126" i="1"/>
  <c r="J126" i="1" s="1"/>
  <c r="M125" i="1"/>
  <c r="L125" i="1" s="1"/>
  <c r="H125" i="1"/>
  <c r="J125" i="1" s="1"/>
  <c r="M124" i="1"/>
  <c r="L124" i="1"/>
  <c r="H124" i="1"/>
  <c r="J124" i="1" s="1"/>
  <c r="M123" i="1"/>
  <c r="L123" i="1" s="1"/>
  <c r="H123" i="1"/>
  <c r="J123" i="1" s="1"/>
  <c r="M122" i="1"/>
  <c r="L122" i="1"/>
  <c r="H122" i="1"/>
  <c r="J122" i="1" s="1"/>
  <c r="M121" i="1"/>
  <c r="L121" i="1" s="1"/>
  <c r="H121" i="1"/>
  <c r="J121" i="1" s="1"/>
  <c r="M120" i="1"/>
  <c r="L120" i="1" s="1"/>
  <c r="H120" i="1"/>
  <c r="J120" i="1" s="1"/>
  <c r="M119" i="1"/>
  <c r="L119" i="1" s="1"/>
  <c r="H119" i="1"/>
  <c r="J119" i="1" s="1"/>
  <c r="M118" i="1"/>
  <c r="L118" i="1"/>
  <c r="H118" i="1"/>
  <c r="J118" i="1" s="1"/>
  <c r="M117" i="1"/>
  <c r="L117" i="1" s="1"/>
  <c r="H117" i="1"/>
  <c r="J117" i="1" s="1"/>
  <c r="M116" i="1"/>
  <c r="L116" i="1"/>
  <c r="H116" i="1"/>
  <c r="J116" i="1" s="1"/>
  <c r="M115" i="1"/>
  <c r="L115" i="1" s="1"/>
  <c r="H115" i="1"/>
  <c r="J115" i="1" s="1"/>
  <c r="M114" i="1"/>
  <c r="L114" i="1"/>
  <c r="H114" i="1"/>
  <c r="J114" i="1" s="1"/>
  <c r="M113" i="1"/>
  <c r="L113" i="1" s="1"/>
  <c r="H113" i="1"/>
  <c r="J113" i="1" s="1"/>
  <c r="M112" i="1"/>
  <c r="L112" i="1"/>
  <c r="H112" i="1"/>
  <c r="J112" i="1" s="1"/>
  <c r="M111" i="1"/>
  <c r="L111" i="1" s="1"/>
  <c r="H111" i="1"/>
  <c r="J111" i="1" s="1"/>
  <c r="M110" i="1"/>
  <c r="L110" i="1"/>
  <c r="H110" i="1"/>
  <c r="J110" i="1" s="1"/>
  <c r="M109" i="1"/>
  <c r="L109" i="1" s="1"/>
  <c r="H109" i="1"/>
  <c r="J109" i="1" s="1"/>
  <c r="M108" i="1"/>
  <c r="L108" i="1" s="1"/>
  <c r="H108" i="1"/>
  <c r="J108" i="1" s="1"/>
  <c r="M107" i="1"/>
  <c r="L107" i="1" s="1"/>
  <c r="H107" i="1"/>
  <c r="J107" i="1" s="1"/>
  <c r="M106" i="1"/>
  <c r="L106" i="1"/>
  <c r="H106" i="1"/>
  <c r="J106" i="1" s="1"/>
  <c r="M105" i="1"/>
  <c r="L105" i="1" s="1"/>
  <c r="H105" i="1"/>
  <c r="J105" i="1" s="1"/>
  <c r="M104" i="1"/>
  <c r="L104" i="1" s="1"/>
  <c r="J104" i="1"/>
  <c r="H104" i="1"/>
  <c r="M103" i="1"/>
  <c r="L103" i="1" s="1"/>
  <c r="H103" i="1"/>
  <c r="J103" i="1" s="1"/>
  <c r="M102" i="1"/>
  <c r="L102" i="1"/>
  <c r="H102" i="1"/>
  <c r="J102" i="1" s="1"/>
  <c r="M101" i="1"/>
  <c r="L101" i="1" s="1"/>
  <c r="H101" i="1"/>
  <c r="J101" i="1" s="1"/>
  <c r="M100" i="1"/>
  <c r="L100" i="1"/>
  <c r="J100" i="1"/>
  <c r="H100" i="1"/>
  <c r="M99" i="1"/>
  <c r="L99" i="1" s="1"/>
  <c r="H99" i="1"/>
  <c r="J99" i="1" s="1"/>
  <c r="M98" i="1"/>
  <c r="L98" i="1"/>
  <c r="H98" i="1"/>
  <c r="J98" i="1" s="1"/>
  <c r="M97" i="1"/>
  <c r="L97" i="1" s="1"/>
  <c r="H97" i="1"/>
  <c r="J97" i="1" s="1"/>
  <c r="M96" i="1"/>
  <c r="L96" i="1"/>
  <c r="H96" i="1"/>
  <c r="J96" i="1" s="1"/>
  <c r="M95" i="1"/>
  <c r="L95" i="1" s="1"/>
  <c r="H95" i="1"/>
  <c r="J95" i="1" s="1"/>
  <c r="M94" i="1"/>
  <c r="L94" i="1"/>
  <c r="H94" i="1"/>
  <c r="J94" i="1" s="1"/>
  <c r="M93" i="1"/>
  <c r="L93" i="1" s="1"/>
  <c r="H93" i="1"/>
  <c r="J93" i="1" s="1"/>
  <c r="M92" i="1"/>
  <c r="L92" i="1"/>
  <c r="H92" i="1"/>
  <c r="J92" i="1" s="1"/>
  <c r="M91" i="1"/>
  <c r="L91" i="1" s="1"/>
  <c r="H91" i="1"/>
  <c r="J91" i="1" s="1"/>
  <c r="M90" i="1"/>
  <c r="L90" i="1"/>
  <c r="H90" i="1"/>
  <c r="J90" i="1" s="1"/>
  <c r="M89" i="1"/>
  <c r="L89" i="1" s="1"/>
  <c r="H89" i="1"/>
  <c r="J89" i="1" s="1"/>
  <c r="M88" i="1"/>
  <c r="L88" i="1"/>
  <c r="H88" i="1"/>
  <c r="J88" i="1" s="1"/>
  <c r="M87" i="1"/>
  <c r="L87" i="1" s="1"/>
  <c r="H87" i="1"/>
  <c r="J87" i="1" s="1"/>
  <c r="M86" i="1"/>
  <c r="L86" i="1"/>
  <c r="H86" i="1"/>
  <c r="J86" i="1" s="1"/>
  <c r="M85" i="1"/>
  <c r="L85" i="1" s="1"/>
  <c r="H85" i="1"/>
  <c r="J85" i="1" s="1"/>
  <c r="M84" i="1"/>
  <c r="L84" i="1"/>
  <c r="H84" i="1"/>
  <c r="J84" i="1" s="1"/>
  <c r="M83" i="1"/>
  <c r="L83" i="1" s="1"/>
  <c r="H83" i="1"/>
  <c r="J83" i="1" s="1"/>
  <c r="M82" i="1"/>
  <c r="L82" i="1"/>
  <c r="H82" i="1"/>
  <c r="J82" i="1" s="1"/>
  <c r="M81" i="1"/>
  <c r="L81" i="1" s="1"/>
  <c r="H81" i="1"/>
  <c r="J81" i="1" s="1"/>
  <c r="M80" i="1"/>
  <c r="L80" i="1" s="1"/>
  <c r="J80" i="1"/>
  <c r="H80" i="1"/>
  <c r="M79" i="1"/>
  <c r="L79" i="1" s="1"/>
  <c r="H79" i="1"/>
  <c r="J79" i="1" s="1"/>
  <c r="M78" i="1"/>
  <c r="L78" i="1"/>
  <c r="H78" i="1"/>
  <c r="J78" i="1" s="1"/>
  <c r="M77" i="1"/>
  <c r="L77" i="1" s="1"/>
  <c r="H77" i="1"/>
  <c r="J77" i="1" s="1"/>
  <c r="M76" i="1"/>
  <c r="L76" i="1" s="1"/>
  <c r="H76" i="1"/>
  <c r="J76" i="1" s="1"/>
  <c r="M75" i="1"/>
  <c r="L75" i="1" s="1"/>
  <c r="H75" i="1"/>
  <c r="J75" i="1" s="1"/>
  <c r="M74" i="1"/>
  <c r="L74" i="1"/>
  <c r="H74" i="1"/>
  <c r="J74" i="1" s="1"/>
  <c r="M73" i="1"/>
  <c r="L73" i="1" s="1"/>
  <c r="H73" i="1"/>
  <c r="J73" i="1" s="1"/>
  <c r="M72" i="1"/>
  <c r="L72" i="1"/>
  <c r="H72" i="1"/>
  <c r="J72" i="1" s="1"/>
  <c r="M71" i="1"/>
  <c r="L71" i="1" s="1"/>
  <c r="H71" i="1"/>
  <c r="J71" i="1" s="1"/>
  <c r="M70" i="1"/>
  <c r="L70" i="1"/>
  <c r="H70" i="1"/>
  <c r="J70" i="1" s="1"/>
  <c r="M69" i="1"/>
  <c r="L69" i="1" s="1"/>
  <c r="H69" i="1"/>
  <c r="J69" i="1" s="1"/>
  <c r="M68" i="1"/>
  <c r="L68" i="1"/>
  <c r="J68" i="1"/>
  <c r="H68" i="1"/>
  <c r="M67" i="1"/>
  <c r="L67" i="1" s="1"/>
  <c r="H67" i="1"/>
  <c r="J67" i="1" s="1"/>
  <c r="M66" i="1"/>
  <c r="L66" i="1"/>
  <c r="H66" i="1"/>
  <c r="J66" i="1" s="1"/>
  <c r="M65" i="1"/>
  <c r="L65" i="1" s="1"/>
  <c r="H65" i="1"/>
  <c r="J65" i="1" s="1"/>
  <c r="M64" i="1"/>
  <c r="L64" i="1"/>
  <c r="J64" i="1"/>
  <c r="H64" i="1"/>
  <c r="M63" i="1"/>
  <c r="L63" i="1" s="1"/>
  <c r="H63" i="1"/>
  <c r="J63" i="1" s="1"/>
  <c r="M62" i="1"/>
  <c r="L62" i="1"/>
  <c r="H62" i="1"/>
  <c r="J62" i="1" s="1"/>
  <c r="M61" i="1"/>
  <c r="L61" i="1" s="1"/>
  <c r="H61" i="1"/>
  <c r="J61" i="1" s="1"/>
  <c r="M60" i="1"/>
  <c r="L60" i="1"/>
  <c r="H60" i="1"/>
  <c r="J60" i="1" s="1"/>
  <c r="M59" i="1"/>
  <c r="L59" i="1" s="1"/>
  <c r="H59" i="1"/>
  <c r="J59" i="1" s="1"/>
  <c r="M58" i="1"/>
  <c r="L58" i="1"/>
  <c r="H58" i="1"/>
  <c r="J58" i="1" s="1"/>
  <c r="M57" i="1"/>
  <c r="L57" i="1" s="1"/>
  <c r="H57" i="1"/>
  <c r="J57" i="1" s="1"/>
  <c r="M56" i="1"/>
  <c r="L56" i="1" s="1"/>
  <c r="H56" i="1"/>
  <c r="J56" i="1" s="1"/>
  <c r="M55" i="1"/>
  <c r="L55" i="1" s="1"/>
  <c r="H55" i="1"/>
  <c r="J55" i="1" s="1"/>
  <c r="M54" i="1"/>
  <c r="L54" i="1"/>
  <c r="H54" i="1"/>
  <c r="J54" i="1" s="1"/>
  <c r="M53" i="1"/>
  <c r="L53" i="1" s="1"/>
  <c r="H53" i="1"/>
  <c r="J53" i="1" s="1"/>
  <c r="M52" i="1"/>
  <c r="L52" i="1"/>
  <c r="H52" i="1"/>
  <c r="J52" i="1" s="1"/>
  <c r="M51" i="1"/>
  <c r="L51" i="1" s="1"/>
  <c r="H51" i="1"/>
  <c r="J51" i="1" s="1"/>
  <c r="M50" i="1"/>
  <c r="L50" i="1"/>
  <c r="H50" i="1"/>
  <c r="J50" i="1" s="1"/>
  <c r="M49" i="1"/>
  <c r="L49" i="1" s="1"/>
  <c r="H49" i="1"/>
  <c r="J49" i="1" s="1"/>
  <c r="M48" i="1"/>
  <c r="L48" i="1"/>
  <c r="H48" i="1"/>
  <c r="J48" i="1" s="1"/>
  <c r="M47" i="1"/>
  <c r="L47" i="1" s="1"/>
  <c r="H47" i="1"/>
  <c r="J47" i="1" s="1"/>
  <c r="M46" i="1"/>
  <c r="L46" i="1"/>
  <c r="H46" i="1"/>
  <c r="J46" i="1" s="1"/>
  <c r="M45" i="1"/>
  <c r="L45" i="1" s="1"/>
  <c r="H45" i="1"/>
  <c r="J45" i="1" s="1"/>
  <c r="M44" i="1"/>
  <c r="L44" i="1" s="1"/>
  <c r="H44" i="1"/>
  <c r="J44" i="1" s="1"/>
  <c r="M43" i="1"/>
  <c r="L43" i="1" s="1"/>
  <c r="H43" i="1"/>
  <c r="J43" i="1" s="1"/>
  <c r="M42" i="1"/>
  <c r="L42" i="1"/>
  <c r="H42" i="1"/>
  <c r="J42" i="1" s="1"/>
  <c r="M41" i="1"/>
  <c r="L41" i="1" s="1"/>
  <c r="H41" i="1"/>
  <c r="J41" i="1" s="1"/>
  <c r="M40" i="1"/>
  <c r="L40" i="1" s="1"/>
  <c r="J40" i="1"/>
  <c r="H40" i="1"/>
  <c r="M39" i="1"/>
  <c r="L39" i="1" s="1"/>
  <c r="H39" i="1"/>
  <c r="J39" i="1" s="1"/>
  <c r="M38" i="1"/>
  <c r="L38" i="1"/>
  <c r="H38" i="1"/>
  <c r="J38" i="1" s="1"/>
  <c r="M37" i="1"/>
  <c r="L37" i="1" s="1"/>
  <c r="H37" i="1"/>
  <c r="J37" i="1" s="1"/>
  <c r="M36" i="1"/>
  <c r="L36" i="1"/>
  <c r="J36" i="1"/>
  <c r="H36" i="1"/>
  <c r="M35" i="1"/>
  <c r="L35" i="1" s="1"/>
  <c r="H35" i="1"/>
  <c r="J35" i="1" s="1"/>
  <c r="M34" i="1"/>
  <c r="L34" i="1"/>
  <c r="H34" i="1"/>
  <c r="J34" i="1" s="1"/>
  <c r="M33" i="1"/>
  <c r="L33" i="1" s="1"/>
  <c r="H33" i="1"/>
  <c r="J33" i="1" s="1"/>
  <c r="M32" i="1"/>
  <c r="L32" i="1"/>
  <c r="H32" i="1"/>
  <c r="J32" i="1" s="1"/>
  <c r="M31" i="1"/>
  <c r="L31" i="1" s="1"/>
  <c r="H31" i="1"/>
  <c r="J31" i="1" s="1"/>
  <c r="M30" i="1"/>
  <c r="L30" i="1"/>
  <c r="H30" i="1"/>
  <c r="J30" i="1" s="1"/>
  <c r="M29" i="1"/>
  <c r="L29" i="1" s="1"/>
  <c r="H29" i="1"/>
  <c r="J29" i="1" s="1"/>
  <c r="M28" i="1"/>
  <c r="L28" i="1"/>
  <c r="H28" i="1"/>
  <c r="J28" i="1" s="1"/>
  <c r="M27" i="1"/>
  <c r="L27" i="1" s="1"/>
  <c r="H27" i="1"/>
  <c r="J27" i="1" s="1"/>
  <c r="M26" i="1"/>
  <c r="L26" i="1"/>
  <c r="H26" i="1"/>
  <c r="J26" i="1" s="1"/>
  <c r="M25" i="1"/>
  <c r="L25" i="1" s="1"/>
  <c r="H25" i="1"/>
  <c r="J25" i="1" s="1"/>
  <c r="M24" i="1"/>
  <c r="L24" i="1"/>
  <c r="H24" i="1"/>
  <c r="J24" i="1" s="1"/>
  <c r="M23" i="1"/>
  <c r="L23" i="1" s="1"/>
  <c r="H23" i="1"/>
  <c r="J23" i="1" s="1"/>
  <c r="M22" i="1"/>
  <c r="L22" i="1"/>
  <c r="H22" i="1"/>
  <c r="J22" i="1" s="1"/>
  <c r="M21" i="1"/>
  <c r="L21" i="1" s="1"/>
  <c r="H21" i="1"/>
  <c r="J21" i="1" s="1"/>
  <c r="M20" i="1"/>
  <c r="L20" i="1"/>
  <c r="H20" i="1"/>
  <c r="J20" i="1" s="1"/>
  <c r="M19" i="1"/>
  <c r="L19" i="1" s="1"/>
  <c r="H19" i="1"/>
  <c r="J19" i="1" s="1"/>
  <c r="M18" i="1"/>
  <c r="L18" i="1"/>
  <c r="H18" i="1"/>
  <c r="J18" i="1" s="1"/>
  <c r="M17" i="1"/>
  <c r="L17" i="1" s="1"/>
  <c r="H17" i="1"/>
  <c r="J17" i="1" s="1"/>
  <c r="M16" i="1"/>
  <c r="L16" i="1" s="1"/>
  <c r="J16" i="1"/>
  <c r="H16" i="1"/>
  <c r="M15" i="1"/>
  <c r="L15" i="1" s="1"/>
  <c r="H15" i="1"/>
  <c r="J15" i="1" s="1"/>
  <c r="M14" i="1"/>
  <c r="L14" i="1"/>
  <c r="H14" i="1"/>
  <c r="J14" i="1" s="1"/>
  <c r="M13" i="1"/>
  <c r="L13" i="1" s="1"/>
  <c r="H13" i="1"/>
  <c r="J13" i="1" s="1"/>
  <c r="M12" i="1"/>
  <c r="L12" i="1" s="1"/>
  <c r="H12" i="1"/>
  <c r="J12" i="1" s="1"/>
  <c r="M11" i="1"/>
  <c r="L11" i="1" s="1"/>
  <c r="H11" i="1"/>
  <c r="J11" i="1" s="1"/>
  <c r="M10" i="1"/>
  <c r="L10" i="1"/>
  <c r="H10" i="1"/>
  <c r="J10" i="1" s="1"/>
  <c r="M9" i="1"/>
  <c r="L9" i="1" s="1"/>
  <c r="H9" i="1"/>
  <c r="J9" i="1" s="1"/>
  <c r="M8" i="1"/>
  <c r="L8" i="1"/>
  <c r="H8" i="1"/>
  <c r="J8" i="1" s="1"/>
  <c r="M7" i="1"/>
  <c r="L7" i="1" s="1"/>
  <c r="J7" i="1"/>
  <c r="H7" i="1"/>
  <c r="M6" i="1"/>
  <c r="L6" i="1"/>
  <c r="H6" i="1"/>
  <c r="J6" i="1" s="1"/>
  <c r="M5" i="1"/>
  <c r="L5" i="1" s="1"/>
  <c r="H5" i="1"/>
  <c r="J5" i="1" s="1"/>
  <c r="M4" i="1"/>
  <c r="L4" i="1" s="1"/>
  <c r="H4" i="1"/>
  <c r="J4" i="1" s="1"/>
  <c r="M3" i="1"/>
  <c r="L3" i="1" s="1"/>
  <c r="H3" i="1"/>
  <c r="J3" i="1" s="1"/>
  <c r="M2" i="1"/>
  <c r="L2" i="1"/>
  <c r="H2" i="1"/>
  <c r="J2" i="1" s="1"/>
  <c r="J67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宏寶文教部-蔡雅如</author>
  </authors>
  <commentList>
    <comment ref="I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請填數量</t>
        </r>
      </text>
    </comment>
  </commentList>
</comments>
</file>

<file path=xl/sharedStrings.xml><?xml version="1.0" encoding="utf-8"?>
<sst xmlns="http://schemas.openxmlformats.org/spreadsheetml/2006/main" count="6435" uniqueCount="3417">
  <si>
    <t>獲獎項目</t>
  </si>
  <si>
    <t>序號</t>
  </si>
  <si>
    <t>書名</t>
  </si>
  <si>
    <t>作者</t>
  </si>
  <si>
    <t>條碼</t>
  </si>
  <si>
    <t>出版日期</t>
  </si>
  <si>
    <t>定 價</t>
  </si>
  <si>
    <t>單價</t>
  </si>
  <si>
    <t>數量</t>
  </si>
  <si>
    <t>總價</t>
  </si>
  <si>
    <t>出版社</t>
  </si>
  <si>
    <t>連結</t>
  </si>
  <si>
    <t>適合年齡</t>
  </si>
  <si>
    <t>CIP</t>
  </si>
  <si>
    <t>分類</t>
  </si>
  <si>
    <t>類型</t>
  </si>
  <si>
    <t>臺灣文化分級推薦書目</t>
  </si>
  <si>
    <t>001</t>
  </si>
  <si>
    <t>【臺灣原住民生活故事】那些人，那些事，在寶島-臺灣平埔族生活圖誌(書+數位影音光碟)</t>
  </si>
  <si>
    <t>六十七 著</t>
  </si>
  <si>
    <t>9789576785337</t>
  </si>
  <si>
    <t>2011/02/15</t>
  </si>
  <si>
    <t>小魯文化-天衛</t>
  </si>
  <si>
    <t>12-18青少年</t>
  </si>
  <si>
    <t>536.299</t>
  </si>
  <si>
    <t>社會科學類</t>
  </si>
  <si>
    <t>社會科學&gt;台灣</t>
  </si>
  <si>
    <t>002</t>
  </si>
  <si>
    <t>11元的鐵道旅行</t>
  </si>
  <si>
    <t>劉克襄</t>
  </si>
  <si>
    <t>9789573264729</t>
  </si>
  <si>
    <t>2009/04/29</t>
  </si>
  <si>
    <t>遠流</t>
  </si>
  <si>
    <t>一般</t>
  </si>
  <si>
    <t>733.69</t>
  </si>
  <si>
    <t>世界史地類</t>
  </si>
  <si>
    <t>人文史地</t>
  </si>
  <si>
    <t>003</t>
  </si>
  <si>
    <t>123到台灣(童書繪本)</t>
  </si>
  <si>
    <t>陳盈帆</t>
  </si>
  <si>
    <t>9789570845099</t>
  </si>
  <si>
    <t>2015/01/14</t>
  </si>
  <si>
    <t>聯經</t>
  </si>
  <si>
    <t>7-12歲</t>
  </si>
  <si>
    <t>859.6</t>
  </si>
  <si>
    <t>語文類</t>
  </si>
  <si>
    <t>童書</t>
  </si>
  <si>
    <t>004</t>
  </si>
  <si>
    <t>123轉台灣</t>
  </si>
  <si>
    <t>9789570854909</t>
  </si>
  <si>
    <t>2020/03/27</t>
  </si>
  <si>
    <t>857.61</t>
  </si>
  <si>
    <t>文學小說</t>
  </si>
  <si>
    <t>005</t>
  </si>
  <si>
    <t>12個插畫家的台灣風情地圖</t>
  </si>
  <si>
    <t>吳宜庭、王瀅琇、ChiChi夏、許育榮、嘻了先生、蔡秀敏</t>
  </si>
  <si>
    <t>9789570848311</t>
  </si>
  <si>
    <t>2016/11/30</t>
  </si>
  <si>
    <t>006</t>
  </si>
  <si>
    <t>1921穿越福爾摩沙:一位英國作家的台灣旅行</t>
  </si>
  <si>
    <t>歐文.魯特(Edward Owen Rutter)</t>
  </si>
  <si>
    <t>9789869532235</t>
  </si>
  <si>
    <t>2017/09/27</t>
  </si>
  <si>
    <t>遠足文化</t>
  </si>
  <si>
    <t>733.6</t>
  </si>
  <si>
    <t>旅遊</t>
  </si>
  <si>
    <t>007</t>
  </si>
  <si>
    <t>1922無盡藏的大發現：哈崙百年林業史</t>
  </si>
  <si>
    <t>王鴻濬,張雅綿</t>
  </si>
  <si>
    <t>9789860488296</t>
  </si>
  <si>
    <t>2016/06/22</t>
  </si>
  <si>
    <t>阿之寶手創館</t>
  </si>
  <si>
    <t>436.0933</t>
  </si>
  <si>
    <t>應用科學類</t>
  </si>
  <si>
    <t>自然科普</t>
  </si>
  <si>
    <t>008</t>
  </si>
  <si>
    <t>T is for Taiwan:台灣A到Z</t>
  </si>
  <si>
    <t>文:黃惠玲圖:王逸蘭/阿力/黃旭輝/橘枳</t>
  </si>
  <si>
    <t>9789862940273</t>
  </si>
  <si>
    <t>2020/06/05</t>
  </si>
  <si>
    <t>玉山社</t>
  </si>
  <si>
    <t>733</t>
  </si>
  <si>
    <t>009</t>
  </si>
  <si>
    <t>Taiwan風之旅</t>
  </si>
  <si>
    <t>小林豊著; 林真美譯</t>
  </si>
  <si>
    <t>9789570848168</t>
  </si>
  <si>
    <t>2016/11/17</t>
  </si>
  <si>
    <t>861.59</t>
  </si>
  <si>
    <t>010</t>
  </si>
  <si>
    <t>一八九五年台灣抗日大戰 第一集</t>
  </si>
  <si>
    <t>陳寬和</t>
  </si>
  <si>
    <t>9789865789626</t>
  </si>
  <si>
    <t>2015/06/15</t>
  </si>
  <si>
    <t>博客思</t>
  </si>
  <si>
    <t>733.28</t>
  </si>
  <si>
    <t>011</t>
  </si>
  <si>
    <t>一本就懂台灣史</t>
  </si>
  <si>
    <t>王御風</t>
  </si>
  <si>
    <t>9789861782621</t>
  </si>
  <si>
    <t>2013/01/15</t>
  </si>
  <si>
    <t>好讀</t>
  </si>
  <si>
    <t>733.21</t>
  </si>
  <si>
    <t>012</t>
  </si>
  <si>
    <t>一看就懂台灣文化</t>
  </si>
  <si>
    <t>遠足文化編輯組</t>
  </si>
  <si>
    <t>9789866731648</t>
  </si>
  <si>
    <t>2010/10/06</t>
  </si>
  <si>
    <t>733.4</t>
  </si>
  <si>
    <t>013</t>
  </si>
  <si>
    <t>一看就懂台灣地理(新裝珍藏版)</t>
  </si>
  <si>
    <t>黃美傳</t>
  </si>
  <si>
    <t>9789578630406</t>
  </si>
  <si>
    <t>2018/05/23</t>
  </si>
  <si>
    <t>733.3</t>
  </si>
  <si>
    <t>014</t>
  </si>
  <si>
    <t>一起看電影</t>
  </si>
  <si>
    <t>陳玉金-作;呂游銘-繪</t>
  </si>
  <si>
    <t>9789864401406</t>
  </si>
  <si>
    <t>2018/11/01</t>
  </si>
  <si>
    <t>維京國際</t>
  </si>
  <si>
    <t>015</t>
  </si>
  <si>
    <t>三角潭的水鬼</t>
  </si>
  <si>
    <t>吳敏顯</t>
  </si>
  <si>
    <t>9789574449453</t>
  </si>
  <si>
    <t>2014/07/01</t>
  </si>
  <si>
    <t>九歌</t>
  </si>
  <si>
    <t>857.63</t>
  </si>
  <si>
    <t>016</t>
  </si>
  <si>
    <t>千里步道2:到農漁村住一晚-慢速‧定點‧深入環島路網上的九個小宇宙</t>
  </si>
  <si>
    <t>台灣千里步道協會策畫/周聖心/林芸姿/陳朝政/黃詩芳/曾慧雯/楊雨青</t>
  </si>
  <si>
    <t>9789576967146</t>
  </si>
  <si>
    <t>2012/08/24</t>
  </si>
  <si>
    <t>幸福綠光</t>
  </si>
  <si>
    <t>017</t>
  </si>
  <si>
    <t>大人的小學時代：一堂最有趣的臺灣史，從小孩子看大時代</t>
  </si>
  <si>
    <t>柿子文化</t>
  </si>
  <si>
    <t>9789866191879</t>
  </si>
  <si>
    <t>2016/05/30</t>
  </si>
  <si>
    <t>523.833</t>
  </si>
  <si>
    <t>社會科學</t>
  </si>
  <si>
    <t>018</t>
  </si>
  <si>
    <t>大番薯的小綠芽:台灣月曆的故事</t>
  </si>
  <si>
    <t>鄭宗弦</t>
  </si>
  <si>
    <t>9789570845112</t>
  </si>
  <si>
    <t>2015/01/23</t>
  </si>
  <si>
    <t>019</t>
  </si>
  <si>
    <t>大灣大員福爾摩沙-從葡萄牙航海日誌、荷西地圖、清日文獻尋找台灣地名真相</t>
  </si>
  <si>
    <t>翁佳音, 曹銘宗</t>
  </si>
  <si>
    <t>9789862622766</t>
  </si>
  <si>
    <t>2016/01/07</t>
  </si>
  <si>
    <t>貓頭鷹</t>
  </si>
  <si>
    <t>733.37</t>
  </si>
  <si>
    <t>020</t>
  </si>
  <si>
    <t>小和老師的探究實作課(01)來，走訪家鄉寫故事</t>
  </si>
  <si>
    <t>郭至和</t>
  </si>
  <si>
    <t>9786263438774</t>
  </si>
  <si>
    <t>2023/04/01</t>
  </si>
  <si>
    <t>小五南</t>
  </si>
  <si>
    <t>523.313</t>
  </si>
  <si>
    <t>童書&gt;語言學習</t>
  </si>
  <si>
    <t>021</t>
  </si>
  <si>
    <t>小桃妹</t>
  </si>
  <si>
    <t>江明恭</t>
  </si>
  <si>
    <t>9789861615387</t>
  </si>
  <si>
    <t>2016/05/01</t>
  </si>
  <si>
    <t>信誼</t>
  </si>
  <si>
    <t>022</t>
  </si>
  <si>
    <t>川流台灣:福爾摩沙水經注</t>
  </si>
  <si>
    <t>陳世慧/田哲榮/林日揚 等著 / 徐安隆/陳弘岱/安培淂 等攝影</t>
  </si>
  <si>
    <t>9789868361898</t>
  </si>
  <si>
    <t>2009/06/07</t>
  </si>
  <si>
    <t>經典雜誌</t>
  </si>
  <si>
    <t>733.32</t>
  </si>
  <si>
    <t>023</t>
  </si>
  <si>
    <t>中華民國在台灣</t>
  </si>
  <si>
    <t>杜福安</t>
  </si>
  <si>
    <t>9789862940457</t>
  </si>
  <si>
    <t>733.29</t>
  </si>
  <si>
    <t>024</t>
  </si>
  <si>
    <t>五毛財神駕到</t>
  </si>
  <si>
    <t>陳昇群</t>
  </si>
  <si>
    <t>9789865641757</t>
  </si>
  <si>
    <t>2016/09/10</t>
  </si>
  <si>
    <t>小兵</t>
  </si>
  <si>
    <t>025</t>
  </si>
  <si>
    <t>太平輪-亂世傳奇的真相</t>
  </si>
  <si>
    <t>丁雯靜</t>
  </si>
  <si>
    <t>9789865842451</t>
  </si>
  <si>
    <t>2014/12/10</t>
  </si>
  <si>
    <t>八旗文化</t>
  </si>
  <si>
    <t>628.62</t>
  </si>
  <si>
    <t>中國史地類</t>
  </si>
  <si>
    <t>026</t>
  </si>
  <si>
    <t>太陽帝國的最後一塊拼圖:隱藏地圖中的日治臺灣真相【典藏修訂版】</t>
  </si>
  <si>
    <t>陸傳傑</t>
  </si>
  <si>
    <t>9789865083014</t>
  </si>
  <si>
    <t>2024/07/10</t>
  </si>
  <si>
    <t>733.35</t>
  </si>
  <si>
    <t>人文史地&gt;台灣</t>
  </si>
  <si>
    <t>027</t>
  </si>
  <si>
    <t>少年臺灣史 二○一九年增訂版(原:少年台灣史-寫給島嶼的新世代和永懷少年心的國人)</t>
  </si>
  <si>
    <t>周婉窈</t>
  </si>
  <si>
    <t>9789862942420</t>
  </si>
  <si>
    <t>2019/09/20</t>
  </si>
  <si>
    <t>028</t>
  </si>
  <si>
    <t>少年讀臺灣：臺灣文化</t>
  </si>
  <si>
    <t>賴佳慧.唐炘炘.李立亨.李艾澄</t>
  </si>
  <si>
    <t>9786263551787</t>
  </si>
  <si>
    <t>2023/05/26</t>
  </si>
  <si>
    <t>未來</t>
  </si>
  <si>
    <t>童書&gt;人文史地&gt;台灣</t>
  </si>
  <si>
    <t>029</t>
  </si>
  <si>
    <t>手繪台灣人四百年史</t>
  </si>
  <si>
    <t>邱顯洵</t>
  </si>
  <si>
    <t>9789863871514</t>
  </si>
  <si>
    <t>2017/03/21</t>
  </si>
  <si>
    <t>印刻</t>
  </si>
  <si>
    <t>030</t>
  </si>
  <si>
    <t>方中街99號</t>
  </si>
  <si>
    <t>花格子</t>
  </si>
  <si>
    <t>9789864500079</t>
  </si>
  <si>
    <t>2015/08/01</t>
  </si>
  <si>
    <t>031</t>
  </si>
  <si>
    <t>日本皇族的台灣行旅-蓬萊仙島菊花香</t>
  </si>
  <si>
    <t>陳煒翰</t>
  </si>
  <si>
    <t>9789862940785</t>
  </si>
  <si>
    <t>2014/05/09</t>
  </si>
  <si>
    <t>032</t>
  </si>
  <si>
    <t>月光三部曲(Ⅰ)淡水女巫的魔幻地圖(第六版)</t>
  </si>
  <si>
    <t>張嘉驊</t>
  </si>
  <si>
    <t>9789869483735</t>
  </si>
  <si>
    <t>2019/10/21</t>
  </si>
  <si>
    <t>四也</t>
  </si>
  <si>
    <t>童書&gt;故事/小說</t>
  </si>
  <si>
    <t>033</t>
  </si>
  <si>
    <t>月光三部曲(Ⅲ)回家之路1947(二版)</t>
  </si>
  <si>
    <t>9789860653991</t>
  </si>
  <si>
    <t>2022/07/25</t>
  </si>
  <si>
    <t>863.59</t>
  </si>
  <si>
    <t>童書&gt;台灣</t>
  </si>
  <si>
    <t>034</t>
  </si>
  <si>
    <t>毛公鼎是怎麼到博物館？</t>
  </si>
  <si>
    <t>陳玉金</t>
  </si>
  <si>
    <t>9789869225939</t>
  </si>
  <si>
    <t>2015/12/10</t>
  </si>
  <si>
    <t>小典藏-典藏藝</t>
  </si>
  <si>
    <t>793.5</t>
  </si>
  <si>
    <t>035</t>
  </si>
  <si>
    <t>世界歷史探險系列(34)台灣尋寶記</t>
  </si>
  <si>
    <t>Sweet Factory</t>
  </si>
  <si>
    <t>9789863421122</t>
  </si>
  <si>
    <t>2014/03/26</t>
  </si>
  <si>
    <t>三采文化</t>
  </si>
  <si>
    <t>036</t>
  </si>
  <si>
    <t>古地圖看台北</t>
  </si>
  <si>
    <t>高傳棋/著</t>
  </si>
  <si>
    <t>9789862940938</t>
  </si>
  <si>
    <t>2014/09/15</t>
  </si>
  <si>
    <t>733.9/101</t>
  </si>
  <si>
    <t>037</t>
  </si>
  <si>
    <t>古早的台灣</t>
  </si>
  <si>
    <t>9789862940433</t>
  </si>
  <si>
    <t>038</t>
  </si>
  <si>
    <t>台北歷史地圖散步</t>
  </si>
  <si>
    <t>陳煒翰等特約撰稿</t>
  </si>
  <si>
    <t>9789860493993</t>
  </si>
  <si>
    <t>2016/08/29</t>
  </si>
  <si>
    <t>台灣東販</t>
  </si>
  <si>
    <t>733.9/101.2</t>
  </si>
  <si>
    <t>039</t>
  </si>
  <si>
    <t>台味:從番薯糜到紅蟳米糕(二版)</t>
  </si>
  <si>
    <t>陳靜宜</t>
  </si>
  <si>
    <t>9789570851359</t>
  </si>
  <si>
    <t>2018/06/25</t>
  </si>
  <si>
    <t>538.7833</t>
  </si>
  <si>
    <t>飲食</t>
  </si>
  <si>
    <t>040</t>
  </si>
  <si>
    <t>台語原來是這樣</t>
  </si>
  <si>
    <t>大郎頭著</t>
  </si>
  <si>
    <t>9789578017443</t>
  </si>
  <si>
    <t>2015/02/10</t>
  </si>
  <si>
    <t>前衛</t>
  </si>
  <si>
    <t>803.38</t>
  </si>
  <si>
    <t>語言學習&gt;台語</t>
  </si>
  <si>
    <t>041</t>
  </si>
  <si>
    <t>台灣久久-台灣百年生活印記(玩樂一百年)</t>
  </si>
  <si>
    <t>中時編輯部製作團隊</t>
  </si>
  <si>
    <t>9789862166932</t>
  </si>
  <si>
    <t>2011/01/31</t>
  </si>
  <si>
    <t>天下文化</t>
  </si>
  <si>
    <t>783.31</t>
  </si>
  <si>
    <t>042</t>
  </si>
  <si>
    <t>台灣大代誌</t>
  </si>
  <si>
    <t>勁草</t>
  </si>
  <si>
    <t>9789866318740</t>
  </si>
  <si>
    <t>2012/07/06</t>
  </si>
  <si>
    <t>台灣書房</t>
  </si>
  <si>
    <t>539.933</t>
  </si>
  <si>
    <t>043</t>
  </si>
  <si>
    <t>台灣山國誌-70%國土再認識</t>
  </si>
  <si>
    <t>田哲榮、陳世慧、林乙華、江涵真...等</t>
  </si>
  <si>
    <t>9789868361812</t>
  </si>
  <si>
    <t>2011/02/12</t>
  </si>
  <si>
    <t>044</t>
  </si>
  <si>
    <t>台灣之光:60盞特色路燈大放閃</t>
  </si>
  <si>
    <t>賴加瑜,潘薏心著</t>
  </si>
  <si>
    <t>9789573278979</t>
  </si>
  <si>
    <t>2016/09/30</t>
  </si>
  <si>
    <t>445.3</t>
  </si>
  <si>
    <t>應用科學</t>
  </si>
  <si>
    <t>045</t>
  </si>
  <si>
    <t>台灣文化藏寶圖</t>
  </si>
  <si>
    <t>林芬郁</t>
  </si>
  <si>
    <t>9789571180229</t>
  </si>
  <si>
    <t>2015/08/25</t>
  </si>
  <si>
    <t>五南</t>
  </si>
  <si>
    <t>733.409</t>
  </si>
  <si>
    <t>046</t>
  </si>
  <si>
    <t>台灣史不胡說:30個關鍵詞看懂日治</t>
  </si>
  <si>
    <t>蔡蕙頻</t>
  </si>
  <si>
    <t>9789862942239</t>
  </si>
  <si>
    <t>2019/02/12</t>
  </si>
  <si>
    <t>047</t>
  </si>
  <si>
    <t>台灣史新聞(最新增訂版)</t>
  </si>
  <si>
    <t>曹銘宗</t>
  </si>
  <si>
    <t>9789862622872</t>
  </si>
  <si>
    <t>2016/04/09</t>
  </si>
  <si>
    <t>733.7</t>
  </si>
  <si>
    <t>048</t>
  </si>
  <si>
    <t>台灣地名事典【精裝典藏版】</t>
  </si>
  <si>
    <t>蔡培慧、陳怡慧、陸傳傑</t>
  </si>
  <si>
    <t>9789578630918</t>
  </si>
  <si>
    <t>2018/11/21</t>
  </si>
  <si>
    <t>049</t>
  </si>
  <si>
    <t>台灣地理(精裝)</t>
  </si>
  <si>
    <t>吳立萍文 ; 蔡嘉驊, 邱意惠, 郭莉蓁繪圖</t>
  </si>
  <si>
    <t>9789862160145</t>
  </si>
  <si>
    <t>小天下</t>
  </si>
  <si>
    <t>050</t>
  </si>
  <si>
    <t>台灣地圖</t>
  </si>
  <si>
    <t>陳又凌</t>
  </si>
  <si>
    <t>9789570848748</t>
  </si>
  <si>
    <t>2017/01/26</t>
  </si>
  <si>
    <t>4-6學齡前</t>
  </si>
  <si>
    <t>051</t>
  </si>
  <si>
    <t>台灣老屋散策：穿街走巷人文慢旅</t>
  </si>
  <si>
    <t>張倫</t>
  </si>
  <si>
    <t>9789864431441</t>
  </si>
  <si>
    <t>2016/07/13</t>
  </si>
  <si>
    <t>晨星</t>
  </si>
  <si>
    <t>052</t>
  </si>
  <si>
    <t>台灣西方文明初體驗(經典復刻版)</t>
  </si>
  <si>
    <t>陳柔縉</t>
  </si>
  <si>
    <t>9786263109100</t>
  </si>
  <si>
    <t>2025/07/28</t>
  </si>
  <si>
    <t>麥田</t>
  </si>
  <si>
    <t>053</t>
  </si>
  <si>
    <t>台灣幸福百事-你想不到的第一次</t>
  </si>
  <si>
    <t>陳柔縉著</t>
  </si>
  <si>
    <t>9789861371382</t>
  </si>
  <si>
    <t>2011/03/29</t>
  </si>
  <si>
    <t>究竟</t>
  </si>
  <si>
    <t>054</t>
  </si>
  <si>
    <t>台灣的臉孔-11位帶來愛、希望與勇氣的天使</t>
  </si>
  <si>
    <t>須文蔚／策劃撰稿 ；廖宏霖、陳啟民、謝其濬、陳?青、馬思源／合著</t>
  </si>
  <si>
    <t>9789573273158</t>
  </si>
  <si>
    <t>2013/12/05</t>
  </si>
  <si>
    <t>781</t>
  </si>
  <si>
    <t>人文史地&gt;傳記</t>
  </si>
  <si>
    <t>055</t>
  </si>
  <si>
    <t>台灣時光機</t>
  </si>
  <si>
    <t>林于昉</t>
  </si>
  <si>
    <t>9789862941126</t>
  </si>
  <si>
    <t>2016/02/15</t>
  </si>
  <si>
    <t>056</t>
  </si>
  <si>
    <t>台灣動物來唱歌Tâi-oân Tōng-bu̍t Lâi Chhiò-koa：台語生態童謠影音繪本</t>
  </si>
  <si>
    <t>周俊廷</t>
  </si>
  <si>
    <t>9789578019096</t>
  </si>
  <si>
    <t>2020/03/31</t>
  </si>
  <si>
    <t>057</t>
  </si>
  <si>
    <t>台灣最美的地方:國家公園地圖</t>
  </si>
  <si>
    <t>9789570852516</t>
  </si>
  <si>
    <t>2019/01/24</t>
  </si>
  <si>
    <t>992.3833</t>
  </si>
  <si>
    <t>藝術類</t>
  </si>
  <si>
    <t>藝術設計</t>
  </si>
  <si>
    <t>058</t>
  </si>
  <si>
    <t>台灣瘋媽祖-大甲媽祖遶境進香</t>
  </si>
  <si>
    <t>黃敦厚、洪瑩發</t>
  </si>
  <si>
    <t>9789866543111</t>
  </si>
  <si>
    <t>2009/03/13</t>
  </si>
  <si>
    <t>博揚文化</t>
  </si>
  <si>
    <t>272.71</t>
  </si>
  <si>
    <t>宗教類</t>
  </si>
  <si>
    <t>宗教命理</t>
  </si>
  <si>
    <t>059</t>
  </si>
  <si>
    <t>台灣歷史全知道:穿越時光隧道,探尋歷史足跡</t>
  </si>
  <si>
    <t>吳新勳作</t>
  </si>
  <si>
    <t>9789862233139</t>
  </si>
  <si>
    <t>2014/01/01</t>
  </si>
  <si>
    <t>風車</t>
  </si>
  <si>
    <t>060</t>
  </si>
  <si>
    <t>台灣歷史故事 1(二版)</t>
  </si>
  <si>
    <t>王淑芬</t>
  </si>
  <si>
    <t>9789570851878</t>
  </si>
  <si>
    <t>2018/09/28</t>
  </si>
  <si>
    <t>061</t>
  </si>
  <si>
    <t>台灣歷史故事 3(二版)</t>
  </si>
  <si>
    <t>鄒敦怜</t>
  </si>
  <si>
    <t>9789570851564</t>
  </si>
  <si>
    <t>2018/08/13</t>
  </si>
  <si>
    <t>062</t>
  </si>
  <si>
    <t>台灣歷史故事 4(二版)</t>
  </si>
  <si>
    <t>洪志明</t>
  </si>
  <si>
    <t>9789570851571</t>
  </si>
  <si>
    <t>063</t>
  </si>
  <si>
    <t>台灣歷史故事 5(二版)</t>
  </si>
  <si>
    <t>周姚萍</t>
  </si>
  <si>
    <t>9789570852028</t>
  </si>
  <si>
    <t>2018/12/26</t>
  </si>
  <si>
    <t>064</t>
  </si>
  <si>
    <t>台灣舊鐵道散步地圖</t>
  </si>
  <si>
    <t>鄧志忠、古庭維</t>
  </si>
  <si>
    <t>9789861774015</t>
  </si>
  <si>
    <t>2010/08/06</t>
  </si>
  <si>
    <t>065</t>
  </si>
  <si>
    <t>台灣欒樹和魔法提琴</t>
  </si>
  <si>
    <t>李潼</t>
  </si>
  <si>
    <t>9789575749392</t>
  </si>
  <si>
    <t>2014/01/08</t>
  </si>
  <si>
    <t>幼獅文化</t>
  </si>
  <si>
    <t>859.7</t>
  </si>
  <si>
    <t>066</t>
  </si>
  <si>
    <t>民國舊報:建國百年紀念特刊</t>
  </si>
  <si>
    <t>唐屹軒</t>
  </si>
  <si>
    <t>9789866614927</t>
  </si>
  <si>
    <t>2010/11/24</t>
  </si>
  <si>
    <t>博雅書屋</t>
  </si>
  <si>
    <t>628</t>
  </si>
  <si>
    <t>067</t>
  </si>
  <si>
    <t>由加利樹林裏《台灣原住民生活記錄畫冊＆小說》</t>
  </si>
  <si>
    <t>芹田騎郎</t>
  </si>
  <si>
    <t>9789578012134</t>
  </si>
  <si>
    <t>2012/09/26</t>
  </si>
  <si>
    <t>861.57</t>
  </si>
  <si>
    <t>文學-日本小說</t>
  </si>
  <si>
    <t>068</t>
  </si>
  <si>
    <t>石堆中發芽的人類學家</t>
  </si>
  <si>
    <t>蔡政良</t>
  </si>
  <si>
    <t>9789866789496</t>
  </si>
  <si>
    <t>2009/05/05</t>
  </si>
  <si>
    <t>536.337</t>
  </si>
  <si>
    <t>069</t>
  </si>
  <si>
    <t>石滬股份有限公司</t>
  </si>
  <si>
    <t>莊世瑩/文、張振松/圖</t>
  </si>
  <si>
    <t>9789860502879</t>
  </si>
  <si>
    <t>2016/11/15</t>
  </si>
  <si>
    <t>070</t>
  </si>
  <si>
    <t>在黑暗中舉起火炬-何鳳山的故事</t>
  </si>
  <si>
    <t>李靜元</t>
  </si>
  <si>
    <t>9789861893150</t>
  </si>
  <si>
    <t>2011/11/03</t>
  </si>
  <si>
    <t>格林文化</t>
  </si>
  <si>
    <t>.</t>
  </si>
  <si>
    <t>071</t>
  </si>
  <si>
    <t>守燈塔的家族+東湧燈塔的故事套書(1套2冊)</t>
  </si>
  <si>
    <t>陳翠玲/圖文</t>
  </si>
  <si>
    <t>4711132387575</t>
  </si>
  <si>
    <t>2014/11/15</t>
  </si>
  <si>
    <t>072</t>
  </si>
  <si>
    <t>百年台灣古早味-尋訪真實老味道</t>
  </si>
  <si>
    <t>黃婉玲/著；林偉民/攝影</t>
  </si>
  <si>
    <t>9789866798368</t>
  </si>
  <si>
    <t>2011/07/01</t>
  </si>
  <si>
    <t>健行文化</t>
  </si>
  <si>
    <t>073</t>
  </si>
  <si>
    <t>老屋顏</t>
  </si>
  <si>
    <t>辛永勝</t>
  </si>
  <si>
    <t>9789865722456</t>
  </si>
  <si>
    <t>2015/04/15</t>
  </si>
  <si>
    <t>馬可孛羅</t>
  </si>
  <si>
    <t>928.33</t>
  </si>
  <si>
    <t>074</t>
  </si>
  <si>
    <t>老臺灣新人類：他們的故事我們的生活</t>
  </si>
  <si>
    <t>王派仁</t>
  </si>
  <si>
    <t>9789571188898</t>
  </si>
  <si>
    <t>2016/12/15</t>
  </si>
  <si>
    <t>075</t>
  </si>
  <si>
    <t>吳寶春的故事-麵包大師</t>
  </si>
  <si>
    <t>謝文賢</t>
  </si>
  <si>
    <t>9789576636875</t>
  </si>
  <si>
    <t>2013/03/01</t>
  </si>
  <si>
    <t>文經社</t>
  </si>
  <si>
    <t>783.3886</t>
  </si>
  <si>
    <t>076</t>
  </si>
  <si>
    <t>妖怪、神靈與奇事-台灣原住民故事</t>
  </si>
  <si>
    <t>王洛夫/繪者:陳盈帆</t>
  </si>
  <si>
    <t>9789570847222</t>
  </si>
  <si>
    <t>2016/05/03</t>
  </si>
  <si>
    <t>947.1</t>
  </si>
  <si>
    <t>077</t>
  </si>
  <si>
    <t>我的小百科系列-我的台灣小百科(修訂版)</t>
  </si>
  <si>
    <t>吳立萍、小天下編輯部</t>
  </si>
  <si>
    <t>9789863202844</t>
  </si>
  <si>
    <t>2013/10/03</t>
  </si>
  <si>
    <t>078</t>
  </si>
  <si>
    <t>我的心，我的眼，看見台灣-齊柏林空拍20年的堅持與深情</t>
  </si>
  <si>
    <t>齊柏林</t>
  </si>
  <si>
    <t>9789861334691</t>
  </si>
  <si>
    <t>2013/10/24</t>
  </si>
  <si>
    <t>圓神</t>
  </si>
  <si>
    <t>079</t>
  </si>
  <si>
    <t>我的幸福糕餅鋪:台味點心50選(原書名:台灣糕餅50味)</t>
  </si>
  <si>
    <t>張尊禎</t>
  </si>
  <si>
    <t>9789573276449</t>
  </si>
  <si>
    <t>2015/05/27</t>
  </si>
  <si>
    <t>481</t>
  </si>
  <si>
    <t>080</t>
  </si>
  <si>
    <t>我的朋友蹛佇隔壁庄（附台語朗讀音檔）</t>
  </si>
  <si>
    <t>儲玉玲</t>
  </si>
  <si>
    <t>9789570871838</t>
  </si>
  <si>
    <t>2023/12/07</t>
  </si>
  <si>
    <t>7-8國小低年級</t>
  </si>
  <si>
    <t>童書&gt;繪本&gt;台灣</t>
  </si>
  <si>
    <t>081</t>
  </si>
  <si>
    <t>我要獻上一朵花:爺爺和我的金門戰地之旅</t>
  </si>
  <si>
    <t>詩文 林世仁</t>
  </si>
  <si>
    <t>9789860295412</t>
  </si>
  <si>
    <t>2011/11/01</t>
  </si>
  <si>
    <t>082</t>
  </si>
  <si>
    <t>我們姓台灣:台灣特有種.台灣外來種</t>
  </si>
  <si>
    <t>經典雜誌編著</t>
  </si>
  <si>
    <t>9789866292552</t>
  </si>
  <si>
    <t>2014/09/05</t>
  </si>
  <si>
    <t>366.33</t>
  </si>
  <si>
    <t>自然科學類</t>
  </si>
  <si>
    <t>083</t>
  </si>
  <si>
    <t>我們的島:臺灣三十年環境變遷全紀錄</t>
  </si>
  <si>
    <t>柯金源</t>
  </si>
  <si>
    <t>9789869533492</t>
  </si>
  <si>
    <t>2018/01/04</t>
  </si>
  <si>
    <t>衛城</t>
  </si>
  <si>
    <t>987.81</t>
  </si>
  <si>
    <t>084</t>
  </si>
  <si>
    <t>我愛三太子:眾神喧嘩太子幫</t>
  </si>
  <si>
    <t>云游天工作室</t>
  </si>
  <si>
    <t>9789868247123</t>
  </si>
  <si>
    <t>2010/06/23</t>
  </si>
  <si>
    <t>向陽文化</t>
  </si>
  <si>
    <t>541.3</t>
  </si>
  <si>
    <t>085</t>
  </si>
  <si>
    <t>投手丘上的勇者-王建民</t>
  </si>
  <si>
    <t>吳立萍</t>
  </si>
  <si>
    <t>9789862163566</t>
  </si>
  <si>
    <t>2009/07/10</t>
  </si>
  <si>
    <t>086</t>
  </si>
  <si>
    <t>改變世界的好設計(02)用手走路的發明王：身障發明家劉大潭</t>
  </si>
  <si>
    <t>李翠卿/劉大潭(故事提供)</t>
  </si>
  <si>
    <t>9789869443302</t>
  </si>
  <si>
    <t>2017/03/06</t>
  </si>
  <si>
    <t>親子天下</t>
  </si>
  <si>
    <t>781.05</t>
  </si>
  <si>
    <t>087</t>
  </si>
  <si>
    <t>決戰熱蘭遮:中國首次擊敗西方的關鍵戰役(全新審訂版)</t>
  </si>
  <si>
    <t>歐陽泰</t>
  </si>
  <si>
    <t>9789571372174</t>
  </si>
  <si>
    <t>2017/12/25</t>
  </si>
  <si>
    <t>時報文化</t>
  </si>
  <si>
    <t>733.25</t>
  </si>
  <si>
    <t>088</t>
  </si>
  <si>
    <t>走過百年-一次讀完台灣百年史20世紀台灣精選版.1971-2000</t>
  </si>
  <si>
    <t>9789866318092</t>
  </si>
  <si>
    <t>2010/01/15</t>
  </si>
  <si>
    <t>089</t>
  </si>
  <si>
    <t>走讀台灣風土</t>
  </si>
  <si>
    <t>顏艾琳</t>
  </si>
  <si>
    <t>9789573910282</t>
  </si>
  <si>
    <t>2017/09/08</t>
  </si>
  <si>
    <t>遠景</t>
  </si>
  <si>
    <t>090</t>
  </si>
  <si>
    <t>來自古井的小神童</t>
  </si>
  <si>
    <t>廖炳焜</t>
  </si>
  <si>
    <t>9789869300711</t>
  </si>
  <si>
    <t>2016/06/01</t>
  </si>
  <si>
    <t>巴巴文化</t>
  </si>
  <si>
    <t>091</t>
  </si>
  <si>
    <t>供桌上的自畫像</t>
  </si>
  <si>
    <t>林滿秋</t>
  </si>
  <si>
    <t>9789869343268</t>
  </si>
  <si>
    <t>2017/01/05</t>
  </si>
  <si>
    <t>940.9933</t>
  </si>
  <si>
    <t>092</t>
  </si>
  <si>
    <t>兩撇喙鬚醫生-賴和(「日治時代臺灣人物」臺語繪本系列第一彈！)</t>
  </si>
  <si>
    <t>黃郁欽</t>
  </si>
  <si>
    <t>9786267317419</t>
  </si>
  <si>
    <t>2023/07/28</t>
  </si>
  <si>
    <t>大塊文化</t>
  </si>
  <si>
    <t>9-10國小中年級</t>
  </si>
  <si>
    <t>童書&gt;人文史地&gt;傳記&gt;台灣</t>
  </si>
  <si>
    <t>093</t>
  </si>
  <si>
    <t>到部落共餐</t>
  </si>
  <si>
    <t>葉思吟</t>
  </si>
  <si>
    <t>9789869690065</t>
  </si>
  <si>
    <t>2019/02/01</t>
  </si>
  <si>
    <t>859.9</t>
  </si>
  <si>
    <t>童書&gt;繪本</t>
  </si>
  <si>
    <t>094</t>
  </si>
  <si>
    <t>妹妹的新丁粄</t>
  </si>
  <si>
    <t>鄭丞鈞</t>
  </si>
  <si>
    <t>9789574449507</t>
  </si>
  <si>
    <t>2014/08/01</t>
  </si>
  <si>
    <t>童書-故事.小說</t>
  </si>
  <si>
    <t>095</t>
  </si>
  <si>
    <t>放假了</t>
  </si>
  <si>
    <t>9789570851786</t>
  </si>
  <si>
    <t>096</t>
  </si>
  <si>
    <t>放學後</t>
  </si>
  <si>
    <t>9789570851779</t>
  </si>
  <si>
    <t>097</t>
  </si>
  <si>
    <t>林良爺爺你請說</t>
  </si>
  <si>
    <t>林良</t>
  </si>
  <si>
    <t>9789575747756</t>
  </si>
  <si>
    <t>2010/06/16</t>
  </si>
  <si>
    <t>098</t>
  </si>
  <si>
    <t>林良爺爺憶兒時</t>
  </si>
  <si>
    <t>9789575749040</t>
  </si>
  <si>
    <t>2013/05/03</t>
  </si>
  <si>
    <t>099</t>
  </si>
  <si>
    <t>林煥彰話童年:來來來,來上學</t>
  </si>
  <si>
    <t>林煥彰</t>
  </si>
  <si>
    <t>9789575748371</t>
  </si>
  <si>
    <t>2011/07/20</t>
  </si>
  <si>
    <t>855</t>
  </si>
  <si>
    <t>100</t>
  </si>
  <si>
    <t>玩味.台灣</t>
  </si>
  <si>
    <t>馬繼康</t>
  </si>
  <si>
    <t>9789865923228</t>
  </si>
  <si>
    <t>2013/01/29</t>
  </si>
  <si>
    <t>四塊玉文創</t>
  </si>
  <si>
    <t>101</t>
  </si>
  <si>
    <t>社區散步去</t>
  </si>
  <si>
    <t>何佳芬作；林純純插圖；社區發展協會等攝影</t>
  </si>
  <si>
    <t>9789865964788</t>
  </si>
  <si>
    <t>2014/11/05</t>
  </si>
  <si>
    <t>親親文化</t>
  </si>
  <si>
    <t>545.0933</t>
  </si>
  <si>
    <t>102</t>
  </si>
  <si>
    <t>花東築夢人-17個堅持有夢的故事</t>
  </si>
  <si>
    <t>高永謀、鄭心媚</t>
  </si>
  <si>
    <t>9789862940402</t>
  </si>
  <si>
    <t>2012/12/15</t>
  </si>
  <si>
    <t>430.13</t>
  </si>
  <si>
    <t>103</t>
  </si>
  <si>
    <t>迎媽祖(十周年紀念大開本版)</t>
  </si>
  <si>
    <t>9789570853261</t>
  </si>
  <si>
    <t>2019/08/17</t>
  </si>
  <si>
    <t>271.9</t>
  </si>
  <si>
    <t>104</t>
  </si>
  <si>
    <t>金瓜石:金仔山黃金歲月</t>
  </si>
  <si>
    <t>施政廷、蕭錦章</t>
  </si>
  <si>
    <t>9789862745236</t>
  </si>
  <si>
    <t>2020/12/01</t>
  </si>
  <si>
    <t>青林</t>
  </si>
  <si>
    <t>童書&gt;人文史地&gt;傳記</t>
  </si>
  <si>
    <t>105</t>
  </si>
  <si>
    <t>阿嬤的廚房:尋找台灣道地古早味</t>
  </si>
  <si>
    <t>黃婉玲</t>
  </si>
  <si>
    <t>9789865983055</t>
  </si>
  <si>
    <t>2012/03/22</t>
  </si>
  <si>
    <t>樂果文化</t>
  </si>
  <si>
    <t>106</t>
  </si>
  <si>
    <t>咱的囡仔歌：山嘛驚寒 【臺語．華語雙語版】</t>
  </si>
  <si>
    <t>林武憲</t>
  </si>
  <si>
    <t>9786267069790</t>
  </si>
  <si>
    <t>2022/12/14</t>
  </si>
  <si>
    <t>字畝文化</t>
  </si>
  <si>
    <t>863.598</t>
  </si>
  <si>
    <t>童書&gt;童詩/童謠/謎語&gt;台灣</t>
  </si>
  <si>
    <t>107</t>
  </si>
  <si>
    <t>巷仔口的美食家：200+台灣最在地的小吃速寫X老店尋味</t>
  </si>
  <si>
    <t>王意馨Leslie Wang</t>
  </si>
  <si>
    <t>9786267336281</t>
  </si>
  <si>
    <t>2023/10/05</t>
  </si>
  <si>
    <t>創意市集-電腦</t>
  </si>
  <si>
    <t>社會科學&gt;飲食文化&gt;台灣</t>
  </si>
  <si>
    <t>108</t>
  </si>
  <si>
    <t>柔軟成就不凡:奧林匹克麵包師吳寶春</t>
  </si>
  <si>
    <t>吳寶春.劉永毅◎合著</t>
  </si>
  <si>
    <t>9789866745973</t>
  </si>
  <si>
    <t>2010/02/05</t>
  </si>
  <si>
    <t>寶瓶文化</t>
  </si>
  <si>
    <t>783</t>
  </si>
  <si>
    <t>109</t>
  </si>
  <si>
    <t>看不見的雨林-福爾摩沙雨林植物誌：漂洋來台的雨林植物，如何扎根台灣，建構你我的歷史文明、生活日常</t>
  </si>
  <si>
    <t>胖胖樹 王瑞閔</t>
  </si>
  <si>
    <t>9789864083558</t>
  </si>
  <si>
    <t>2018/03/15</t>
  </si>
  <si>
    <t>麥浩斯資訊</t>
  </si>
  <si>
    <t>436.12</t>
  </si>
  <si>
    <t>110</t>
  </si>
  <si>
    <t>看見那瑪夏：來自高山上的堅韌與溫柔</t>
  </si>
  <si>
    <t>高雄第一社大自然生態社</t>
  </si>
  <si>
    <t>9786263189348</t>
  </si>
  <si>
    <t>2023/11/21</t>
  </si>
  <si>
    <t>商周文化</t>
  </si>
  <si>
    <t>733.9/133.9/103.2</t>
  </si>
  <si>
    <t>旅遊&gt;台灣</t>
  </si>
  <si>
    <t>111</t>
  </si>
  <si>
    <t>穿越時空的歌仔少年:臺灣少年小說第一人 25週年經典改版重現</t>
  </si>
  <si>
    <t>9789577519337</t>
  </si>
  <si>
    <t>2023/09/01</t>
  </si>
  <si>
    <t>國語日報</t>
  </si>
  <si>
    <t>863.596</t>
  </si>
  <si>
    <t>童書&gt;故事/小說&gt;台灣</t>
  </si>
  <si>
    <t>112</t>
  </si>
  <si>
    <t>重溫老祖先的智慧:憲哥講臺灣諺語</t>
  </si>
  <si>
    <t>賴憲政著</t>
  </si>
  <si>
    <t>9789574495320</t>
  </si>
  <si>
    <t>2012/09/01</t>
  </si>
  <si>
    <t>清涼音</t>
  </si>
  <si>
    <t>113</t>
  </si>
  <si>
    <t>重遊台灣老場景</t>
  </si>
  <si>
    <t>蕭學仁</t>
  </si>
  <si>
    <t>9789866433108</t>
  </si>
  <si>
    <t>2010/02/04</t>
  </si>
  <si>
    <t>上旗文化</t>
  </si>
  <si>
    <t>114</t>
  </si>
  <si>
    <t>風土餐桌小旅行:12個小地方的飲食人類學筆記</t>
  </si>
  <si>
    <t>洪震宇</t>
  </si>
  <si>
    <t>9789573274834</t>
  </si>
  <si>
    <t>2014/09/01</t>
  </si>
  <si>
    <t>115</t>
  </si>
  <si>
    <t>風吹風吹，佇天頂飛：台語創作囝仔歌</t>
  </si>
  <si>
    <t>王金選</t>
  </si>
  <si>
    <t>9786263559813</t>
  </si>
  <si>
    <t>2024/10/30</t>
  </si>
  <si>
    <t>116</t>
  </si>
  <si>
    <t>飛鞋</t>
  </si>
  <si>
    <t>李明珊</t>
  </si>
  <si>
    <t>9789864501397</t>
  </si>
  <si>
    <t>2017/08/01</t>
  </si>
  <si>
    <t>117</t>
  </si>
  <si>
    <t>夏天吹起的風：從一九四五年開啟的時光</t>
  </si>
  <si>
    <t>黃惠鈴、張振松</t>
  </si>
  <si>
    <t>9789862943175</t>
  </si>
  <si>
    <t>2022/09/05</t>
  </si>
  <si>
    <t>863.599</t>
  </si>
  <si>
    <t>118</t>
  </si>
  <si>
    <t>射日英雄(中文布農族巒群族語對照)(布農族民俗動物神話與傳說故事繪本04)</t>
  </si>
  <si>
    <t>田哲益、全正文◎作者王顧明◎繪者</t>
  </si>
  <si>
    <t>9786263206014</t>
  </si>
  <si>
    <t>2023/09/25</t>
  </si>
  <si>
    <t>539.5339</t>
  </si>
  <si>
    <t>童書&gt;社會科學&gt;民謠;傳說&gt;台灣</t>
  </si>
  <si>
    <t>119</t>
  </si>
  <si>
    <t>島嶼的餐桌-36種台灣滋味的追尋</t>
  </si>
  <si>
    <t>陳淑華</t>
  </si>
  <si>
    <t>9789573265658</t>
  </si>
  <si>
    <t>2009/12/01</t>
  </si>
  <si>
    <t>427.07</t>
  </si>
  <si>
    <t>120</t>
  </si>
  <si>
    <t>旅人的食材曆</t>
  </si>
  <si>
    <t>洪震宇 / 文    劉伯樂 / 圖</t>
  </si>
  <si>
    <t>9789573267133</t>
  </si>
  <si>
    <t>2010/10/01</t>
  </si>
  <si>
    <t>121</t>
  </si>
  <si>
    <t>浪漫台三線款款行  行腳。樟之細路</t>
  </si>
  <si>
    <t>天下雜誌人文出版部</t>
  </si>
  <si>
    <t>9789863984061</t>
  </si>
  <si>
    <t>2019/03/26</t>
  </si>
  <si>
    <t>天下雜誌</t>
  </si>
  <si>
    <t>122</t>
  </si>
  <si>
    <t>浪漫台三線款款行  探訪。心適原鄉</t>
  </si>
  <si>
    <t>9789863984078</t>
  </si>
  <si>
    <t>123</t>
  </si>
  <si>
    <t>浪漫台三線款款行  喚醒。老舖創生</t>
  </si>
  <si>
    <t>9789863984085</t>
  </si>
  <si>
    <t>124</t>
  </si>
  <si>
    <t>海洋的心聲-海洋散文集</t>
  </si>
  <si>
    <t>廖鴻基主編</t>
  </si>
  <si>
    <t>9789575749330</t>
  </si>
  <si>
    <t>2013/11/02</t>
  </si>
  <si>
    <t>125</t>
  </si>
  <si>
    <t>消失與重生:翻轉在地老文化,創造台灣新價值</t>
  </si>
  <si>
    <t>中時調查採訪室</t>
  </si>
  <si>
    <t>9789865947729</t>
  </si>
  <si>
    <t>2013/01/30</t>
  </si>
  <si>
    <t>野人文化</t>
  </si>
  <si>
    <t>126</t>
  </si>
  <si>
    <t>消逝的後街光影</t>
  </si>
  <si>
    <t>簡嘉誠</t>
  </si>
  <si>
    <t>9789863193791</t>
  </si>
  <si>
    <t>2019/01/09</t>
  </si>
  <si>
    <t>蓋亞文化</t>
  </si>
  <si>
    <t>947.41</t>
  </si>
  <si>
    <t>漫畫</t>
  </si>
  <si>
    <t>127</t>
  </si>
  <si>
    <t>烈火中的二二八</t>
  </si>
  <si>
    <t>9789862940181</t>
  </si>
  <si>
    <t>2012/02/28</t>
  </si>
  <si>
    <t>733.2913</t>
  </si>
  <si>
    <t>128</t>
  </si>
  <si>
    <t>紋山-中橫的故事</t>
  </si>
  <si>
    <t>李如青、嚴淑女</t>
  </si>
  <si>
    <t>9789862167571</t>
  </si>
  <si>
    <t>2011/08/09</t>
  </si>
  <si>
    <t>129</t>
  </si>
  <si>
    <t>茶桌異聞:從送肉粽到紅眠床34則鹿港怪談紀實</t>
  </si>
  <si>
    <t>殺豬的牛二</t>
  </si>
  <si>
    <t>9786263047426</t>
  </si>
  <si>
    <t>2021/07/28</t>
  </si>
  <si>
    <t>733.9/121.9/143.4</t>
  </si>
  <si>
    <t>130</t>
  </si>
  <si>
    <t>逆風之島-歷史台灣浮世繪</t>
  </si>
  <si>
    <t>林文義</t>
  </si>
  <si>
    <t>9789570845150</t>
  </si>
  <si>
    <t>2015/01/16</t>
  </si>
  <si>
    <t>青少年</t>
  </si>
  <si>
    <t>131</t>
  </si>
  <si>
    <t>寂寞的天才-黃土水(「日治時代臺灣人物」臺語繪本系列第二彈！)</t>
  </si>
  <si>
    <t>9786267483640</t>
  </si>
  <si>
    <t>2024/09/04</t>
  </si>
  <si>
    <t>132</t>
  </si>
  <si>
    <t>從資訊地圖看臺灣：用最直觀的資訊圖表，重新認識島嶼大小事</t>
  </si>
  <si>
    <t>王昱堯</t>
  </si>
  <si>
    <t>9786263183797</t>
  </si>
  <si>
    <t>2022/08/02</t>
  </si>
  <si>
    <t>133</t>
  </si>
  <si>
    <t>教室外的公民課：從思辨、對話到公民行動的啟蒙</t>
  </si>
  <si>
    <t>公民行動影音紀錄資料庫</t>
  </si>
  <si>
    <t>9789863594321</t>
  </si>
  <si>
    <t>2017/08/30</t>
  </si>
  <si>
    <t>木馬文化</t>
  </si>
  <si>
    <t>528.3</t>
  </si>
  <si>
    <t>134</t>
  </si>
  <si>
    <t>現代化之路</t>
  </si>
  <si>
    <t>9789862940440</t>
  </si>
  <si>
    <t>135</t>
  </si>
  <si>
    <t>異人茶跡(03)艋舺租屋騷動</t>
  </si>
  <si>
    <t>張季雅</t>
  </si>
  <si>
    <t>9789863193937</t>
  </si>
  <si>
    <t>2019/02/26</t>
  </si>
  <si>
    <t>136</t>
  </si>
  <si>
    <t>異人茶跡(04)茶迷大稻埕</t>
  </si>
  <si>
    <t>9789863194880</t>
  </si>
  <si>
    <t>2020/07/01</t>
  </si>
  <si>
    <t>137</t>
  </si>
  <si>
    <t>細味台中</t>
  </si>
  <si>
    <t>劉書甫, 蘇俐穎著</t>
  </si>
  <si>
    <t>9789865813321</t>
  </si>
  <si>
    <t>2014/06/03</t>
  </si>
  <si>
    <t>二魚文化</t>
  </si>
  <si>
    <t>138</t>
  </si>
  <si>
    <t>蚵仔煎的身世:台灣食物名稱小考</t>
  </si>
  <si>
    <t>9789862623121</t>
  </si>
  <si>
    <t>2016/11/05</t>
  </si>
  <si>
    <t>139</t>
  </si>
  <si>
    <t>被誤解的台灣古地圖:用100+幅世界古地圖,破解12~18世紀台灣地理懸案&amp;歷史謎題(隨書贈17世紀古地圖復刻書</t>
  </si>
  <si>
    <t>9789863843177</t>
  </si>
  <si>
    <t>2018/10/03</t>
  </si>
  <si>
    <t>140</t>
  </si>
  <si>
    <t>郭泓志的故事-大聯盟不死鳥</t>
  </si>
  <si>
    <t>陳愫儀</t>
  </si>
  <si>
    <t>9789576636110</t>
  </si>
  <si>
    <t>2010/04/28</t>
  </si>
  <si>
    <t>141</t>
  </si>
  <si>
    <t>陳樹菊-不凡的慷慨</t>
  </si>
  <si>
    <t>陳樹菊 著／劉永毅 撰文</t>
  </si>
  <si>
    <t>9789866249389</t>
  </si>
  <si>
    <t>2011/01/27</t>
  </si>
  <si>
    <t>142</t>
  </si>
  <si>
    <t>麻達快跑</t>
  </si>
  <si>
    <t>陳榕笙</t>
  </si>
  <si>
    <t>9789869419062</t>
  </si>
  <si>
    <t>2017/04/26</t>
  </si>
  <si>
    <t>863.859</t>
  </si>
  <si>
    <t>143</t>
  </si>
  <si>
    <t>喀噠喀達喀噠（新版)【附台文別冊及台語朗讀QR code】</t>
  </si>
  <si>
    <t>林小杯</t>
  </si>
  <si>
    <t>9789579380744</t>
  </si>
  <si>
    <t>2020/12/02</t>
  </si>
  <si>
    <t>步步出版</t>
  </si>
  <si>
    <t>144</t>
  </si>
  <si>
    <t>尋百工：四個年輕孩子與一百種市井職人相遇的故事</t>
  </si>
  <si>
    <t>祁台穎</t>
  </si>
  <si>
    <t>9789573267294</t>
  </si>
  <si>
    <t>2010/12/01</t>
  </si>
  <si>
    <t>969</t>
  </si>
  <si>
    <t>145</t>
  </si>
  <si>
    <t>尋找中央山脈的弟兄（二版）</t>
  </si>
  <si>
    <t>9789862119655</t>
  </si>
  <si>
    <t>2019/10/01</t>
  </si>
  <si>
    <t>146</t>
  </si>
  <si>
    <t>悶蛋小鎮(創作30週年暢銷紀念版)－首刷附作者印簽金句扉頁</t>
  </si>
  <si>
    <t>張友漁</t>
  </si>
  <si>
    <t>4717211037416</t>
  </si>
  <si>
    <t>2025/01/20</t>
  </si>
  <si>
    <t>147</t>
  </si>
  <si>
    <t>最美的風景</t>
  </si>
  <si>
    <t>吳易蓁</t>
  </si>
  <si>
    <t>9789862943113</t>
  </si>
  <si>
    <t>2022/04/18</t>
  </si>
  <si>
    <t>148</t>
  </si>
  <si>
    <t>畫家帶路,基隆小旅行(新版)</t>
  </si>
  <si>
    <t>王傑</t>
  </si>
  <si>
    <t>9789863360698</t>
  </si>
  <si>
    <t>2015/04/01</t>
  </si>
  <si>
    <t>太雅</t>
  </si>
  <si>
    <t>733.9</t>
  </si>
  <si>
    <t>149</t>
  </si>
  <si>
    <t>發現，臺灣風土之美</t>
  </si>
  <si>
    <t>9789575749880</t>
  </si>
  <si>
    <t>2015/03/10</t>
  </si>
  <si>
    <t>538.833</t>
  </si>
  <si>
    <t>150</t>
  </si>
  <si>
    <t>雄獅堡最後的衛兵</t>
  </si>
  <si>
    <t>李如青</t>
  </si>
  <si>
    <t>9789862165485</t>
  </si>
  <si>
    <t>2010/06/22</t>
  </si>
  <si>
    <t>813.7</t>
  </si>
  <si>
    <t>151</t>
  </si>
  <si>
    <t>媽媽小時候：第一次參加婚禮（二版）</t>
  </si>
  <si>
    <t>鄭靜儀</t>
  </si>
  <si>
    <t>9789865566692</t>
  </si>
  <si>
    <t>2022/03/01</t>
  </si>
  <si>
    <t>152</t>
  </si>
  <si>
    <t>想畫．就畫．就能畫</t>
  </si>
  <si>
    <t>呂游銘</t>
  </si>
  <si>
    <t>9789862112670</t>
  </si>
  <si>
    <t>2012/08/01</t>
  </si>
  <si>
    <t>153</t>
  </si>
  <si>
    <t>暗夜的螃蟹Crab in the dark</t>
  </si>
  <si>
    <t>溫振華、戴寶村</t>
  </si>
  <si>
    <t>9789862942383</t>
  </si>
  <si>
    <t>2019/06/10</t>
  </si>
  <si>
    <t>860</t>
  </si>
  <si>
    <t>文學-東方</t>
  </si>
  <si>
    <t>154</t>
  </si>
  <si>
    <t>裡台灣</t>
  </si>
  <si>
    <t>9789862940549</t>
  </si>
  <si>
    <t>2013/06/15</t>
  </si>
  <si>
    <t>155</t>
  </si>
  <si>
    <t>解碼臺灣史1550-1720</t>
  </si>
  <si>
    <t>翁佳音、黃驗</t>
  </si>
  <si>
    <t>9789573280330</t>
  </si>
  <si>
    <t>733.24</t>
  </si>
  <si>
    <t>156</t>
  </si>
  <si>
    <t>跟阿嬤去賣掃帚─台灣真少年</t>
  </si>
  <si>
    <t>文／簡媜；圖／黃小燕</t>
  </si>
  <si>
    <t>9789573289760</t>
  </si>
  <si>
    <t>2021/03/04</t>
  </si>
  <si>
    <t>157</t>
  </si>
  <si>
    <t>跟著歷史名人去遊歷：愛玩大少爺郁永河遊臺灣</t>
  </si>
  <si>
    <t>文／王文華圖／久久童畫工作室</t>
  </si>
  <si>
    <t>9786267140017</t>
  </si>
  <si>
    <t>2023/01/04</t>
  </si>
  <si>
    <t>小熊出版</t>
  </si>
  <si>
    <t>158</t>
  </si>
  <si>
    <t>零下四十度的勇氣</t>
  </si>
  <si>
    <t>陳彥博</t>
  </si>
  <si>
    <t>9789866798320</t>
  </si>
  <si>
    <t>159</t>
  </si>
  <si>
    <t>圖解台灣史</t>
  </si>
  <si>
    <t>王品涵,郭婷玉,許雅玲,莊建華</t>
  </si>
  <si>
    <t>9789864431991</t>
  </si>
  <si>
    <t>2016/11/20</t>
  </si>
  <si>
    <t>160</t>
  </si>
  <si>
    <t>林佩欣</t>
  </si>
  <si>
    <t>9789571165370</t>
  </si>
  <si>
    <t>2012/02/25</t>
  </si>
  <si>
    <t>161</t>
  </si>
  <si>
    <t>9789861781495</t>
  </si>
  <si>
    <t>2010/07/06</t>
  </si>
  <si>
    <t>162</t>
  </si>
  <si>
    <t>圖解台灣民俗【新版】</t>
  </si>
  <si>
    <t>李文環、林怡君◎作者三娃、余正隆◎繪者</t>
  </si>
  <si>
    <t>9789861784854</t>
  </si>
  <si>
    <t>2019/03/25</t>
  </si>
  <si>
    <t>163</t>
  </si>
  <si>
    <t>圖解台灣老地名</t>
  </si>
  <si>
    <t>莊文松</t>
  </si>
  <si>
    <t>9789864432608</t>
  </si>
  <si>
    <t>2017/05/06</t>
  </si>
  <si>
    <t>164</t>
  </si>
  <si>
    <t>圖解台灣廟宇傳奇故事：聽！郭老師台灣廟口說故事</t>
  </si>
  <si>
    <t>郭喜斌</t>
  </si>
  <si>
    <t>9789864431366</t>
  </si>
  <si>
    <t>2016/03/15</t>
  </si>
  <si>
    <t>387.7</t>
  </si>
  <si>
    <t>165</t>
  </si>
  <si>
    <t>圖解節慶觀光與民俗：SOP標準流程與案例分析</t>
  </si>
  <si>
    <t>方偉達</t>
  </si>
  <si>
    <t>9789571195919</t>
  </si>
  <si>
    <t>2018/02/25</t>
  </si>
  <si>
    <t>166</t>
  </si>
  <si>
    <t>圖說清代台北城(風華金典藏版)</t>
  </si>
  <si>
    <t>徐逸鴻</t>
  </si>
  <si>
    <t>9789862624098</t>
  </si>
  <si>
    <t>2020/03/05</t>
  </si>
  <si>
    <t>733.9/101.6</t>
  </si>
  <si>
    <t>167</t>
  </si>
  <si>
    <t>夢想中的陀螺</t>
  </si>
  <si>
    <t>陳玉金/文 呂游銘/圖</t>
  </si>
  <si>
    <t>9789864401086</t>
  </si>
  <si>
    <t>168</t>
  </si>
  <si>
    <t>旗魚王</t>
  </si>
  <si>
    <t>9789570839395</t>
  </si>
  <si>
    <t>2012/01/11</t>
  </si>
  <si>
    <t>169</t>
  </si>
  <si>
    <t>漫畫台灣歷史故事(平裝版)(1套12冊)</t>
  </si>
  <si>
    <t>郝廣才</t>
  </si>
  <si>
    <t>9789573244721</t>
  </si>
  <si>
    <t>2001/10/05</t>
  </si>
  <si>
    <t>170</t>
  </si>
  <si>
    <t>福爾摩沙.美麗之島:1910-20年代西方人眼中的臺灣</t>
  </si>
  <si>
    <t>愛麗絲．約瑟芬．包蘭亭．柯潔索夫、哈利．阿佛森．法蘭克</t>
  </si>
  <si>
    <t>9789578630932</t>
  </si>
  <si>
    <t>171</t>
  </si>
  <si>
    <t>福爾摩沙的故事：台灣國際貿易的先鋒 糖業</t>
  </si>
  <si>
    <t>陳明言</t>
  </si>
  <si>
    <t>9789869423397</t>
  </si>
  <si>
    <t>2017/02/22</t>
  </si>
  <si>
    <t>481.80933</t>
  </si>
  <si>
    <t>商業理財</t>
  </si>
  <si>
    <t>172</t>
  </si>
  <si>
    <t>綴圓仔講臺語(02)佮阿公踅菜市仔</t>
  </si>
  <si>
    <t>海狗房東</t>
  </si>
  <si>
    <t>9789862943120</t>
  </si>
  <si>
    <t>2022/10/07</t>
  </si>
  <si>
    <t>0-3嬰幼兒</t>
  </si>
  <si>
    <t>173</t>
  </si>
  <si>
    <t>臺中學.第二輯(5冊不分售)驛動軌/市街之味/書店滄桑/劇場演義/踢躂膠彩</t>
  </si>
  <si>
    <t>朱書漢,宋德熹,游博清,方秋停,蘇全正,郭富,曾得標,林景淵</t>
  </si>
  <si>
    <t>9789860537604</t>
  </si>
  <si>
    <t>2017/11/10</t>
  </si>
  <si>
    <t>733.9/115</t>
  </si>
  <si>
    <t>174</t>
  </si>
  <si>
    <t>臺南歷史地圖散步</t>
  </si>
  <si>
    <t>中央研究院數位文化中心</t>
  </si>
  <si>
    <t>9789860577792</t>
  </si>
  <si>
    <t>2019/01/21</t>
  </si>
  <si>
    <t>733.9/127.2</t>
  </si>
  <si>
    <t>175</t>
  </si>
  <si>
    <t>臺陽妖異誌(02)疫鬼與王船</t>
  </si>
  <si>
    <t>鄭若珣</t>
  </si>
  <si>
    <t>9789577519191</t>
  </si>
  <si>
    <t>2023/01/01</t>
  </si>
  <si>
    <t>11-12國小高年級</t>
  </si>
  <si>
    <t>176</t>
  </si>
  <si>
    <t>臺灣 沒說你不知道-生活在這塊土地的你可以拿來說嘴的七十則冷知識</t>
  </si>
  <si>
    <t>每日一冷</t>
  </si>
  <si>
    <t>9789571065519</t>
  </si>
  <si>
    <t>2016/04/27</t>
  </si>
  <si>
    <t>尖端</t>
  </si>
  <si>
    <t>177</t>
  </si>
  <si>
    <t>臺灣史上最有梗的臺灣史</t>
  </si>
  <si>
    <t>黃震南</t>
  </si>
  <si>
    <t>9789861372242</t>
  </si>
  <si>
    <t>2016/08/01</t>
  </si>
  <si>
    <t>178</t>
  </si>
  <si>
    <t>臺灣百年生活圖錄-第一輯,廣告時代(1套5冊)(送台灣模型)</t>
  </si>
  <si>
    <t>博揚文化編輯部編著</t>
  </si>
  <si>
    <t>9789866543258</t>
  </si>
  <si>
    <t>2010/02/11</t>
  </si>
  <si>
    <t>179</t>
  </si>
  <si>
    <t>臺灣老虎郵:百年前臺灣民主國發行郵票的故事</t>
  </si>
  <si>
    <t>李明亮(原著)、王威智(編撰)</t>
  </si>
  <si>
    <t>9789869656931</t>
  </si>
  <si>
    <t>2018/10/25</t>
  </si>
  <si>
    <t>慧明文化</t>
  </si>
  <si>
    <t>557.6462</t>
  </si>
  <si>
    <t>180</t>
  </si>
  <si>
    <t>臺灣歷史地圖.增訂版</t>
  </si>
  <si>
    <t>黃清琦-撰;黃驗;黃裕元-文</t>
  </si>
  <si>
    <t>9789860552744</t>
  </si>
  <si>
    <t>2018/02/04</t>
  </si>
  <si>
    <t>181</t>
  </si>
  <si>
    <t>臺灣歷史圖說</t>
  </si>
  <si>
    <t>9789570878059</t>
  </si>
  <si>
    <t>2025/10/02</t>
  </si>
  <si>
    <t>182</t>
  </si>
  <si>
    <t>與水同行：走讀臺灣的水資源歷史與文化</t>
  </si>
  <si>
    <t>9789571198835</t>
  </si>
  <si>
    <t>2018/12/28</t>
  </si>
  <si>
    <t>351.7</t>
  </si>
  <si>
    <t>183</t>
  </si>
  <si>
    <t>億萬年尺度的台灣:從地質公園追出島嶼的身世</t>
  </si>
  <si>
    <t>撰文／林書帆.諶淑婷.陳泳翰.邱彥瑜.莊瑞琳.王梵.雷翔宇攝影／許震唐.黃世澤</t>
  </si>
  <si>
    <t>9789869533447</t>
  </si>
  <si>
    <t>2017/10/05</t>
  </si>
  <si>
    <t>356.33</t>
  </si>
  <si>
    <t>184</t>
  </si>
  <si>
    <t>蔣渭水VS林獻堂</t>
  </si>
  <si>
    <t>戴月芳</t>
  </si>
  <si>
    <t>9789571174839</t>
  </si>
  <si>
    <t>2014/01/25</t>
  </si>
  <si>
    <t>733.286</t>
  </si>
  <si>
    <t>185</t>
  </si>
  <si>
    <t>蔬菜的島</t>
  </si>
  <si>
    <t>黃惠鈴</t>
  </si>
  <si>
    <t>9789860428308</t>
  </si>
  <si>
    <t>2014/12/01</t>
  </si>
  <si>
    <t>186</t>
  </si>
  <si>
    <t>獨眼孫悟空</t>
  </si>
  <si>
    <t>張嘉驊文; 南君圖</t>
  </si>
  <si>
    <t>9789869300766</t>
  </si>
  <si>
    <t>2016/12/07</t>
  </si>
  <si>
    <t>也是文創</t>
  </si>
  <si>
    <t>187</t>
  </si>
  <si>
    <t>舊日時光</t>
  </si>
  <si>
    <t>9789862133927</t>
  </si>
  <si>
    <t>2012/11/26</t>
  </si>
  <si>
    <t>188</t>
  </si>
  <si>
    <t>鯤島計畫</t>
  </si>
  <si>
    <t>大郎頭</t>
  </si>
  <si>
    <t>9789578018501</t>
  </si>
  <si>
    <t>2019/01/25</t>
  </si>
  <si>
    <t>863.57</t>
  </si>
  <si>
    <t>189</t>
  </si>
  <si>
    <t>蘋果甜蜜蜜</t>
  </si>
  <si>
    <t>9789570839425</t>
  </si>
  <si>
    <t>2012/01/07</t>
  </si>
  <si>
    <t>190</t>
  </si>
  <si>
    <t>續‧臺灣沒說你不知道:生活在紛擾年代，七十則包山包海、愛鄉愛土的冷知識</t>
  </si>
  <si>
    <t>9789571081618</t>
  </si>
  <si>
    <t>2018/10/17</t>
  </si>
  <si>
    <t>191</t>
  </si>
  <si>
    <t>躍動的青春-日治臺灣的學生生活</t>
  </si>
  <si>
    <t>鄭麗玲</t>
  </si>
  <si>
    <t>9789869051842</t>
  </si>
  <si>
    <t>2015/01/29</t>
  </si>
  <si>
    <t>192</t>
  </si>
  <si>
    <t>鑽石台灣-多元歷史篇</t>
  </si>
  <si>
    <t>財團法人白鷺鷥文教基金會</t>
  </si>
  <si>
    <t>9789866789830</t>
  </si>
  <si>
    <t>2010/10/15</t>
  </si>
  <si>
    <t>193</t>
  </si>
  <si>
    <t>【台灣原住民的神話與傳說】10泰雅族-彩虹橋的審判(三版)</t>
  </si>
  <si>
    <t>里慕伊?阿紀,孫大川/總策劃</t>
  </si>
  <si>
    <t>9789576968310</t>
  </si>
  <si>
    <t>2016/08/10</t>
  </si>
  <si>
    <t>194</t>
  </si>
  <si>
    <t>【台灣原住民的神話與傳說】8鄒族-復仇的山豬(三版)</t>
  </si>
  <si>
    <t>鄭信得/著,孫大川/總策劃</t>
  </si>
  <si>
    <t>9789576968297</t>
  </si>
  <si>
    <t>195</t>
  </si>
  <si>
    <t>【台灣原住民的神話與傳說】9賽夏族-巴斯達隘傳說(三版)</t>
  </si>
  <si>
    <t>潘秋榮/著,孫大川/總策劃</t>
  </si>
  <si>
    <t>9789576968266</t>
  </si>
  <si>
    <t>196</t>
  </si>
  <si>
    <t>【平路台灣三部曲套書】東方之東、婆娑之島、夢魂之地</t>
  </si>
  <si>
    <t>平路</t>
  </si>
  <si>
    <t>9786263146273</t>
  </si>
  <si>
    <t>2024/03/20</t>
  </si>
  <si>
    <t>文學小說&gt;台灣</t>
  </si>
  <si>
    <t>197</t>
  </si>
  <si>
    <t>198</t>
  </si>
  <si>
    <t>365天，與神明一起來跨年：圖說台灣民間廟宇裡的歲時與節令故事</t>
  </si>
  <si>
    <t>9786264203739</t>
  </si>
  <si>
    <t>2026/04/06</t>
  </si>
  <si>
    <t>199</t>
  </si>
  <si>
    <t>55歲,第一次走朝聖之路,用自己的方式輕鬆完成:不必吃苦!跟庇護所、吃不好說Bye,肉腳0基礎也能好好體驗</t>
  </si>
  <si>
    <t>Tina</t>
  </si>
  <si>
    <t>9786263980136</t>
  </si>
  <si>
    <t>2024/05/02</t>
  </si>
  <si>
    <t>墨刻</t>
  </si>
  <si>
    <t>200</t>
  </si>
  <si>
    <t>COFETAIL!咖啡調飲研究室-寶島遶境,節氣出杯!最有台灣味的咖啡調飲指南</t>
  </si>
  <si>
    <t>王琴理、廖思為</t>
  </si>
  <si>
    <t>9786267401774</t>
  </si>
  <si>
    <t>2024/07/11</t>
  </si>
  <si>
    <t>飲食&gt;飲料&gt;咖啡&gt;台灣</t>
  </si>
  <si>
    <t>201</t>
  </si>
  <si>
    <t>GOOD EYE 台灣挑剔指南:第一本讓世界認識台灣的中英文風格旅遊書【全新改版】(中英雙語)</t>
  </si>
  <si>
    <t>郭佩怜 等</t>
  </si>
  <si>
    <t>9786263964204</t>
  </si>
  <si>
    <t>2024/07/02</t>
  </si>
  <si>
    <t>202</t>
  </si>
  <si>
    <t>May姐的健康台灣味：減醣、低碳、快速上桌，每天都想吃的三餐提案 100+</t>
  </si>
  <si>
    <t>May姐</t>
  </si>
  <si>
    <t>9786267683736</t>
  </si>
  <si>
    <t>2026/03/07</t>
  </si>
  <si>
    <t>飲食&gt;食譜</t>
  </si>
  <si>
    <t>203</t>
  </si>
  <si>
    <t>TaKuXi愛去哪位:客語計程車私房旅遊書</t>
  </si>
  <si>
    <t>張簡敏希,羅亭雅,江怡瑄</t>
  </si>
  <si>
    <t>9786269585168</t>
  </si>
  <si>
    <t>2024/05/06</t>
  </si>
  <si>
    <t>聚場文化</t>
  </si>
  <si>
    <t>204</t>
  </si>
  <si>
    <t>X島嶼：留學生、監控與冷戰時代的隱形戰場，海另一端的台灣民主運動</t>
  </si>
  <si>
    <t>鄭昕 (Wendy Cheng)</t>
  </si>
  <si>
    <t>9789570877502</t>
  </si>
  <si>
    <t>2025/08/28</t>
  </si>
  <si>
    <t>205</t>
  </si>
  <si>
    <t>一九一一 ,台北全滅:台灣百年治水事業的起點及你不可不知的重大水利故事</t>
  </si>
  <si>
    <t>林煒舒</t>
  </si>
  <si>
    <t>9786267063705</t>
  </si>
  <si>
    <t>2024/05/24</t>
  </si>
  <si>
    <t>網路與書</t>
  </si>
  <si>
    <t>應用科學&gt;台灣</t>
  </si>
  <si>
    <t>206</t>
  </si>
  <si>
    <t>一午二紅沙，三鯧四馬鮫：台灣海產的身世</t>
  </si>
  <si>
    <t>9789862626054</t>
  </si>
  <si>
    <t>2023/01/31</t>
  </si>
  <si>
    <t>207</t>
  </si>
  <si>
    <t>一家人的南門市場</t>
  </si>
  <si>
    <t>葉益青</t>
  </si>
  <si>
    <t>9789570854091</t>
  </si>
  <si>
    <t>2019/10/25</t>
  </si>
  <si>
    <t>童書/青少年文學&gt;圖畫書&gt;知識繪本</t>
  </si>
  <si>
    <t>208</t>
  </si>
  <si>
    <t>一路向北：浪人醫師的徒步台灣東海道</t>
  </si>
  <si>
    <t>吳佳璇</t>
  </si>
  <si>
    <t>9786263961968</t>
  </si>
  <si>
    <t>2024/06/14</t>
  </si>
  <si>
    <t>209</t>
  </si>
  <si>
    <t>七月爍爁</t>
  </si>
  <si>
    <t>林俊頴</t>
  </si>
  <si>
    <t>9786263108011</t>
  </si>
  <si>
    <t>210</t>
  </si>
  <si>
    <t>人蛇大戰的故事(布農族民俗動物神話與傳說故事繪本07)</t>
  </si>
  <si>
    <t>田哲益/全正文◎著王顧明◎繪圖</t>
  </si>
  <si>
    <t>9786264201629</t>
  </si>
  <si>
    <t>2025/08/06</t>
  </si>
  <si>
    <t>211</t>
  </si>
  <si>
    <t>人間失格：太宰治經典代表作．首度台語翻譯版</t>
  </si>
  <si>
    <t>太宰治</t>
  </si>
  <si>
    <t>9786263149076</t>
  </si>
  <si>
    <t>2026/03/02</t>
  </si>
  <si>
    <t>文學小說&gt;日本小說</t>
  </si>
  <si>
    <t>212</t>
  </si>
  <si>
    <t>入陣者:台灣勞工運動三十年,一場尊嚴與抵抗的對話</t>
  </si>
  <si>
    <t>孫友聯</t>
  </si>
  <si>
    <t>9786267835159</t>
  </si>
  <si>
    <t>2026/02/04</t>
  </si>
  <si>
    <t>社會科學&gt;勞工&gt;台灣</t>
  </si>
  <si>
    <t>213</t>
  </si>
  <si>
    <t>八尺門的辯護人：原著劇本、劇照及導演後記</t>
  </si>
  <si>
    <t>唐福睿</t>
  </si>
  <si>
    <t>9786267229699</t>
  </si>
  <si>
    <t>2023/09/28</t>
  </si>
  <si>
    <t>鏡文學</t>
  </si>
  <si>
    <t>藝術設計&gt;電影&gt;台灣</t>
  </si>
  <si>
    <t>214</t>
  </si>
  <si>
    <t>八歲,一個人去旅行(三版)─台灣真少年</t>
  </si>
  <si>
    <t>文/吳念真；圖/官月淑</t>
  </si>
  <si>
    <t>9786263618695</t>
  </si>
  <si>
    <t>2024/08/28</t>
  </si>
  <si>
    <t>215</t>
  </si>
  <si>
    <t>十二小守護過新年：玉兔的祝福</t>
  </si>
  <si>
    <t>陳沛慈</t>
  </si>
  <si>
    <t>9786267237090</t>
  </si>
  <si>
    <t>216</t>
  </si>
  <si>
    <t>十二小守護過新年：我是鯉小龍</t>
  </si>
  <si>
    <t>9786267350362</t>
  </si>
  <si>
    <t>2023/12/01</t>
  </si>
  <si>
    <t>217</t>
  </si>
  <si>
    <t>十二小守護過新年-小吉鼠來報到</t>
  </si>
  <si>
    <t>顏志豪</t>
  </si>
  <si>
    <t>9789865513016</t>
  </si>
  <si>
    <t>2020/01/20</t>
  </si>
  <si>
    <t>童書-繪本</t>
  </si>
  <si>
    <t>218</t>
  </si>
  <si>
    <t>十二小守護過新年-牛轉乾坤福氣來</t>
  </si>
  <si>
    <t>9789865513894</t>
  </si>
  <si>
    <t>2021/02/01</t>
  </si>
  <si>
    <t>219</t>
  </si>
  <si>
    <t>十二小守護過新年-如虎添翼好隊友</t>
  </si>
  <si>
    <t>9786267043349</t>
  </si>
  <si>
    <t>2021/01/01</t>
  </si>
  <si>
    <t>220</t>
  </si>
  <si>
    <t>十二小守護過新年-奔跑吧!行天馬</t>
  </si>
  <si>
    <t>嚴凱信</t>
  </si>
  <si>
    <t>9786267772782</t>
  </si>
  <si>
    <t>2026/01/01</t>
  </si>
  <si>
    <t>221</t>
  </si>
  <si>
    <t>十二小守護過新年-起飛吧！小螣蛇</t>
  </si>
  <si>
    <t>9786267467633</t>
  </si>
  <si>
    <t>2024/12/01</t>
  </si>
  <si>
    <t>222</t>
  </si>
  <si>
    <t>十兄弟(三版)</t>
  </si>
  <si>
    <t>沙永玲</t>
  </si>
  <si>
    <t>9786267772461</t>
  </si>
  <si>
    <t>223</t>
  </si>
  <si>
    <t>大和洋樓的人與物</t>
  </si>
  <si>
    <t>鹿港民俗文物館編撰小組</t>
  </si>
  <si>
    <t>9789869768566</t>
  </si>
  <si>
    <t>2024/05/08</t>
  </si>
  <si>
    <t>山谷文教</t>
  </si>
  <si>
    <t>總類</t>
  </si>
  <si>
    <t>224</t>
  </si>
  <si>
    <t>大風吹:台灣童年(12週年紀念典藏版)</t>
  </si>
  <si>
    <t>王盛弘</t>
  </si>
  <si>
    <t>9786267747421</t>
  </si>
  <si>
    <t>2025/12/15</t>
  </si>
  <si>
    <t>文學</t>
  </si>
  <si>
    <t>225</t>
  </si>
  <si>
    <t>大家一起玩泥巴(二版)</t>
  </si>
  <si>
    <t>張秀毓</t>
  </si>
  <si>
    <t>9786267632888</t>
  </si>
  <si>
    <t>2025/09/01</t>
  </si>
  <si>
    <t>226</t>
  </si>
  <si>
    <t>大鬼小鬼圖書館(三版)</t>
  </si>
  <si>
    <t>幸佳慧文; 楊宛靜圖</t>
  </si>
  <si>
    <t>9789865513610</t>
  </si>
  <si>
    <t>2020/09/01</t>
  </si>
  <si>
    <t>童書-台灣</t>
  </si>
  <si>
    <t>227</t>
  </si>
  <si>
    <t>小小的大冒險(附手作紙上劇場組、臺文劇本別冊+臺文劇本有聲書)</t>
  </si>
  <si>
    <t>周見信</t>
  </si>
  <si>
    <t>9786269566273</t>
  </si>
  <si>
    <t>2022/11/02</t>
  </si>
  <si>
    <t>228</t>
  </si>
  <si>
    <t>小手按按有聲書-台語兒歌</t>
  </si>
  <si>
    <t>風車圖書編輯</t>
  </si>
  <si>
    <t>9789862237960</t>
  </si>
  <si>
    <t>2024/02/29</t>
  </si>
  <si>
    <t>童書&gt;藝術設計</t>
  </si>
  <si>
    <t>229</t>
  </si>
  <si>
    <t>小米有個小袋子</t>
  </si>
  <si>
    <t>孫心瑜/圖文</t>
  </si>
  <si>
    <t>9789862113134</t>
  </si>
  <si>
    <t>230</t>
  </si>
  <si>
    <t>小兔仔彼得(台、華文合訂本)</t>
  </si>
  <si>
    <t>碧雅翠絲.波特</t>
  </si>
  <si>
    <t>9789864275328</t>
  </si>
  <si>
    <t>韋伯文化</t>
  </si>
  <si>
    <t>童書&gt;繪本&gt;英國</t>
  </si>
  <si>
    <t>231</t>
  </si>
  <si>
    <t>232</t>
  </si>
  <si>
    <t>小虎過端午</t>
  </si>
  <si>
    <t>翁藝珊</t>
  </si>
  <si>
    <t>9789861617725</t>
  </si>
  <si>
    <t>2025/05/01</t>
  </si>
  <si>
    <t>233</t>
  </si>
  <si>
    <t>小保學畫畫(三版)</t>
  </si>
  <si>
    <t>馮輝岳</t>
  </si>
  <si>
    <t>9789865566401</t>
  </si>
  <si>
    <t>2021/06/01</t>
  </si>
  <si>
    <t>童書&gt;故事.小說&gt;台灣</t>
  </si>
  <si>
    <t>234</t>
  </si>
  <si>
    <t>235</t>
  </si>
  <si>
    <t>小黑啤玩臺灣(01)新北篇：扮英雄</t>
  </si>
  <si>
    <t>臺灣吧製作團隊</t>
  </si>
  <si>
    <t>9786264170000</t>
  </si>
  <si>
    <t>2025/01/07</t>
  </si>
  <si>
    <t>236</t>
  </si>
  <si>
    <t>小黑啤玩臺灣(02)竹縣篇：泡好茶</t>
  </si>
  <si>
    <t>9786264170017</t>
  </si>
  <si>
    <t>237</t>
  </si>
  <si>
    <t>小黑啤玩臺灣(03)臺中篇：畫太陽</t>
  </si>
  <si>
    <t>9786264170024</t>
  </si>
  <si>
    <t>238</t>
  </si>
  <si>
    <t>小黑啤玩臺灣(04)嘉市篇：吃夜市</t>
  </si>
  <si>
    <t>9786264170079</t>
  </si>
  <si>
    <t>239</t>
  </si>
  <si>
    <t>小黑啤玩臺灣(05)馬祖篇：划小船</t>
  </si>
  <si>
    <t>9786264170093</t>
  </si>
  <si>
    <t>240</t>
  </si>
  <si>
    <t>小黑啤玩臺灣(06)桃園篇：過節日</t>
  </si>
  <si>
    <t>9786264170116</t>
  </si>
  <si>
    <t>2025/02/07</t>
  </si>
  <si>
    <t>241</t>
  </si>
  <si>
    <t>小黑啤玩臺灣(07)彰化篇：逛老街</t>
  </si>
  <si>
    <t>9786264170123</t>
  </si>
  <si>
    <t>242</t>
  </si>
  <si>
    <t>小黑啤玩臺灣(08)高雄篇：遊大港</t>
  </si>
  <si>
    <t>9786264170147</t>
  </si>
  <si>
    <t>243</t>
  </si>
  <si>
    <t>小黑啤玩臺灣(09)臺東篇：找石器</t>
  </si>
  <si>
    <t>9786263559387</t>
  </si>
  <si>
    <t>244</t>
  </si>
  <si>
    <t>小黑啤玩臺灣(10)臺南篇：尋古堡</t>
  </si>
  <si>
    <t>9786264170208</t>
  </si>
  <si>
    <t>245</t>
  </si>
  <si>
    <t>小黑啤玩臺灣(11)基隆篇：放水燈</t>
  </si>
  <si>
    <t>9786264171748</t>
  </si>
  <si>
    <t>2025/03/27</t>
  </si>
  <si>
    <t>246</t>
  </si>
  <si>
    <t>小黑啤玩臺灣(12)雲林篇：去看戲</t>
  </si>
  <si>
    <t>9786264171755</t>
  </si>
  <si>
    <t>247</t>
  </si>
  <si>
    <t>小黑啤玩臺灣(13)屏東篇：來剪紙</t>
  </si>
  <si>
    <t>9786264171762</t>
  </si>
  <si>
    <t>248</t>
  </si>
  <si>
    <t>小黑啤玩臺灣(14)花蓮篇：迎成年</t>
  </si>
  <si>
    <t>9786264171779</t>
  </si>
  <si>
    <t>249</t>
  </si>
  <si>
    <t>小黑啤玩臺灣(15)臺北篇:做料理</t>
  </si>
  <si>
    <t>9786264172158</t>
  </si>
  <si>
    <t>2025/04/25</t>
  </si>
  <si>
    <t>童書&gt;人文史地</t>
  </si>
  <si>
    <t>250</t>
  </si>
  <si>
    <t>小黑啤玩臺灣(16)南投篇:走古道</t>
  </si>
  <si>
    <t>9786264172165</t>
  </si>
  <si>
    <t>251</t>
  </si>
  <si>
    <t>小黑啤玩臺灣(17)金門篇:搬新家</t>
  </si>
  <si>
    <t>9786264172172</t>
  </si>
  <si>
    <t>252</t>
  </si>
  <si>
    <t>小黑啤玩臺灣(18)澎湖篇:看天氣</t>
  </si>
  <si>
    <t>9786264172189</t>
  </si>
  <si>
    <t>253</t>
  </si>
  <si>
    <t>小黑啤玩臺灣(19)竹市篇：起大風</t>
  </si>
  <si>
    <t>9786264172615</t>
  </si>
  <si>
    <t>2025/05/27</t>
  </si>
  <si>
    <t>254</t>
  </si>
  <si>
    <t>小黑啤玩臺灣(20)苗栗篇：刻木雕</t>
  </si>
  <si>
    <t>9786264172622</t>
  </si>
  <si>
    <t>255</t>
  </si>
  <si>
    <t>小黑啤玩臺灣(21)嘉縣篇：坐火車</t>
  </si>
  <si>
    <t>9786264172639</t>
  </si>
  <si>
    <t>256</t>
  </si>
  <si>
    <t>小黑啤玩臺灣(22)宜蘭篇：組樂隊</t>
  </si>
  <si>
    <t>9786264172646</t>
  </si>
  <si>
    <t>257</t>
  </si>
  <si>
    <t>小熊逛市場(手語書)</t>
  </si>
  <si>
    <t>張素卿（kiki）</t>
  </si>
  <si>
    <t>9789860653939</t>
  </si>
  <si>
    <t>2021/11/05</t>
  </si>
  <si>
    <t>童書&gt;社會科學&gt;教育</t>
  </si>
  <si>
    <t>258</t>
  </si>
  <si>
    <t>小鳶的寶石任務</t>
  </si>
  <si>
    <t>鄭辰穎</t>
  </si>
  <si>
    <t>9789865513818</t>
  </si>
  <si>
    <t>2020/11/01</t>
  </si>
  <si>
    <t>童書-台灣-繪本</t>
  </si>
  <si>
    <t>259</t>
  </si>
  <si>
    <t>小寶貝,今天要做什麼？(隨書附贈「家長手冊」)</t>
  </si>
  <si>
    <t>9789574907564</t>
  </si>
  <si>
    <t>2026/06/01</t>
  </si>
  <si>
    <t>天衛文化</t>
  </si>
  <si>
    <t>童書/青少年文學&gt;幼幼書&gt;啟蒙認知</t>
  </si>
  <si>
    <t>260</t>
  </si>
  <si>
    <t>小露的奇幻時光:通往1979年高雄的列車</t>
  </si>
  <si>
    <t>夏琳</t>
  </si>
  <si>
    <t>9786267632369</t>
  </si>
  <si>
    <t>2025/05/12</t>
  </si>
  <si>
    <t>261</t>
  </si>
  <si>
    <t>山</t>
  </si>
  <si>
    <t>林鍾隆</t>
  </si>
  <si>
    <t>9786267632550</t>
  </si>
  <si>
    <t>2025/07/01</t>
  </si>
  <si>
    <t>262</t>
  </si>
  <si>
    <t>山伯伯的下午茶(二版)</t>
  </si>
  <si>
    <t>崔麗君</t>
  </si>
  <si>
    <t>9786267632055</t>
  </si>
  <si>
    <t>2025/02/01</t>
  </si>
  <si>
    <t>263</t>
  </si>
  <si>
    <t>山城之夏（三版）</t>
  </si>
  <si>
    <t>9789862118368</t>
  </si>
  <si>
    <t>264</t>
  </si>
  <si>
    <t>山獸與雜魚</t>
  </si>
  <si>
    <t>林敬峰</t>
  </si>
  <si>
    <t>9786267388273</t>
  </si>
  <si>
    <t>2024/02/01</t>
  </si>
  <si>
    <t>文學小說&gt;華文創作&gt;散文</t>
  </si>
  <si>
    <t>265</t>
  </si>
  <si>
    <t>予大人佮囡仔e高雄時光機：高雄歷史小故事繪本有聲書</t>
  </si>
  <si>
    <t>李文環</t>
  </si>
  <si>
    <t>9786267267929</t>
  </si>
  <si>
    <t>2025/12/06</t>
  </si>
  <si>
    <t>童書&gt;語言學習&gt;台語</t>
  </si>
  <si>
    <t>266</t>
  </si>
  <si>
    <t>五爪的佮我</t>
  </si>
  <si>
    <t>林美麗</t>
  </si>
  <si>
    <t>9789864508464</t>
  </si>
  <si>
    <t>2025/10/01</t>
  </si>
  <si>
    <t>267</t>
  </si>
  <si>
    <t>天命：台灣民主運動者許信良的一生見證</t>
  </si>
  <si>
    <t>許信良</t>
  </si>
  <si>
    <t>9786264199643</t>
  </si>
  <si>
    <t>2025/11/20</t>
  </si>
  <si>
    <t>268</t>
  </si>
  <si>
    <t>天空的衣服（二版）</t>
  </si>
  <si>
    <t>謝武彰</t>
  </si>
  <si>
    <t>9786267237717</t>
  </si>
  <si>
    <t>2023/10/01</t>
  </si>
  <si>
    <t>269</t>
  </si>
  <si>
    <t>天啊！天才！</t>
  </si>
  <si>
    <t>徐萃、姬炤華</t>
  </si>
  <si>
    <t>9789865566135</t>
  </si>
  <si>
    <t>2021/03/01</t>
  </si>
  <si>
    <t>270</t>
  </si>
  <si>
    <t>天啊！錯啦！（三版）</t>
  </si>
  <si>
    <t>9786267237670</t>
  </si>
  <si>
    <t>2023/05/01</t>
  </si>
  <si>
    <t>271</t>
  </si>
  <si>
    <t>天涯總有相會時：台灣黑電影教父蔡揚名</t>
  </si>
  <si>
    <t>卓庭伍</t>
  </si>
  <si>
    <t>9786264180146</t>
  </si>
  <si>
    <t>2024/12/27</t>
  </si>
  <si>
    <t>人文史地&gt;傳記&gt;台灣</t>
  </si>
  <si>
    <t>272</t>
  </si>
  <si>
    <t>太平輪一九四九(三版):航向台灣的故事</t>
  </si>
  <si>
    <t>4717702123499</t>
  </si>
  <si>
    <t>2024/04/30</t>
  </si>
  <si>
    <t>273</t>
  </si>
  <si>
    <t>少年噶瑪蘭【注音版】(三版)</t>
  </si>
  <si>
    <t>9789574904747</t>
  </si>
  <si>
    <t>童書&gt;故事.小說</t>
  </si>
  <si>
    <t>274</t>
  </si>
  <si>
    <t>少年龍船隊(四版)</t>
  </si>
  <si>
    <t>9786267467435</t>
  </si>
  <si>
    <t>2024/09/01</t>
  </si>
  <si>
    <t>275</t>
  </si>
  <si>
    <t>276</t>
  </si>
  <si>
    <t>少年讀臺灣：臺灣史</t>
  </si>
  <si>
    <t>許耀雲</t>
  </si>
  <si>
    <t>9789865256883</t>
  </si>
  <si>
    <t>2022/08/25</t>
  </si>
  <si>
    <t>277</t>
  </si>
  <si>
    <t>少年讀臺灣：臺灣生態</t>
  </si>
  <si>
    <t>9789865256906</t>
  </si>
  <si>
    <t>童書&gt;自然科普&gt;台灣</t>
  </si>
  <si>
    <t>278</t>
  </si>
  <si>
    <t>少年讀臺灣：臺灣地理</t>
  </si>
  <si>
    <t>吳立萍、賴佳慧</t>
  </si>
  <si>
    <t>9789865256890</t>
  </si>
  <si>
    <t>279</t>
  </si>
  <si>
    <t>少年讀臺灣短篇小說選(01)</t>
  </si>
  <si>
    <t>張子樟</t>
  </si>
  <si>
    <t>9786263556829</t>
  </si>
  <si>
    <t>2024/03/27</t>
  </si>
  <si>
    <t>童書/青少年文學&gt;故事/小說&gt;成長/校園</t>
  </si>
  <si>
    <t>280</t>
  </si>
  <si>
    <t>少年讀臺灣短篇小說選(02)</t>
  </si>
  <si>
    <t>9786263556836</t>
  </si>
  <si>
    <t>281</t>
  </si>
  <si>
    <t>巴冷公主要嫁蛇王子(臺灣原生動物說故事1)</t>
  </si>
  <si>
    <t>林世仁</t>
  </si>
  <si>
    <t>9786263618626</t>
  </si>
  <si>
    <t>282</t>
  </si>
  <si>
    <t>巴奈回家：凱道．二二八公園的二六四四天</t>
  </si>
  <si>
    <t>巴奈、徐璐</t>
  </si>
  <si>
    <t>9786263961555</t>
  </si>
  <si>
    <t>2024/04/26</t>
  </si>
  <si>
    <t>社會科學&gt;民族志&gt;台灣</t>
  </si>
  <si>
    <t>283</t>
  </si>
  <si>
    <t>手帳裡的台灣慢旅行：從台北、九份到檳城、京都、宇治，收藏每一段城市漫步時光</t>
  </si>
  <si>
    <t>莊淑芬Sophie</t>
  </si>
  <si>
    <t>9786267683095</t>
  </si>
  <si>
    <t>2025/05/15</t>
  </si>
  <si>
    <t>284</t>
  </si>
  <si>
    <t>手繪台灣街景:老街、舊城、古屋,用畫筆分享市井中的台灣味</t>
  </si>
  <si>
    <t>橘枳(林佩儀)</t>
  </si>
  <si>
    <t>9786263792876</t>
  </si>
  <si>
    <t>藝術設計&gt;繪畫&gt;台灣</t>
  </si>
  <si>
    <t>285</t>
  </si>
  <si>
    <t>手繪圖解台灣民間風俗</t>
  </si>
  <si>
    <t>和平編輯部編</t>
  </si>
  <si>
    <t>9789863714897</t>
  </si>
  <si>
    <t>2024/01/01</t>
  </si>
  <si>
    <t>和平國際</t>
  </si>
  <si>
    <t>社會科學&gt;民俗學&gt;台灣</t>
  </si>
  <si>
    <t>286</t>
  </si>
  <si>
    <t>日月潭</t>
  </si>
  <si>
    <t>9789862111024</t>
  </si>
  <si>
    <t>2009/07/01</t>
  </si>
  <si>
    <t>童書/青少年文學&gt; 圖畫書&gt; 童話/寓言</t>
  </si>
  <si>
    <t>287</t>
  </si>
  <si>
    <t>日本民藝紀行(台灣升級版)【跟著民藝之父柳宗悅,探索手作器物之美】</t>
  </si>
  <si>
    <t>柳宗悅(Yanagi Muneyoshi)</t>
  </si>
  <si>
    <t>9789865083854</t>
  </si>
  <si>
    <t>2025/08/27</t>
  </si>
  <si>
    <t>藝術設計&gt;工藝美術</t>
  </si>
  <si>
    <t>288</t>
  </si>
  <si>
    <t>日本神社超圖解:54個Q&amp;A看懂參訪禮儀×八百萬神×奇特祭典,還有此生必訪的神社清單,讓參拜過程更有趣</t>
  </si>
  <si>
    <t>澀谷申博</t>
  </si>
  <si>
    <t>9786263980129</t>
  </si>
  <si>
    <t>2024/05/09</t>
  </si>
  <si>
    <t>289</t>
  </si>
  <si>
    <t>月牙公主</t>
  </si>
  <si>
    <t>須文蔚</t>
  </si>
  <si>
    <t>9789869814805</t>
  </si>
  <si>
    <t>2019/11/10</t>
  </si>
  <si>
    <t>秀威少年</t>
  </si>
  <si>
    <t>290</t>
  </si>
  <si>
    <t>月光</t>
  </si>
  <si>
    <t>施政廷</t>
  </si>
  <si>
    <t>9786267467244</t>
  </si>
  <si>
    <t>291</t>
  </si>
  <si>
    <t>水鬼</t>
  </si>
  <si>
    <t>劉漢初</t>
  </si>
  <si>
    <t>9789865513412</t>
  </si>
  <si>
    <t>童書-台灣-童話</t>
  </si>
  <si>
    <t>292</t>
  </si>
  <si>
    <t>火金姑台語傳統兒歌集(QR Code線上聽台語兒歌)</t>
  </si>
  <si>
    <t>郭芝苑, 陳中申, 劉學軒</t>
  </si>
  <si>
    <t>9789861617237</t>
  </si>
  <si>
    <t>2023/07/16</t>
  </si>
  <si>
    <t>293</t>
  </si>
  <si>
    <t>王牌解說員：走讀千段崎古道（二版）</t>
  </si>
  <si>
    <t>陳素宜</t>
  </si>
  <si>
    <t>9789862119693</t>
  </si>
  <si>
    <t>2020/03/01</t>
  </si>
  <si>
    <t>294</t>
  </si>
  <si>
    <t>世界來過台灣：從荷蘭、美國、西班牙、大清、日本到中華民國，一覽他們來過台灣的足跡，解鎖課本沒有教的歷史彩蛋！</t>
  </si>
  <si>
    <t>張胤賢</t>
  </si>
  <si>
    <t>9786263107410</t>
  </si>
  <si>
    <t>2024/10/03</t>
  </si>
  <si>
    <t>295</t>
  </si>
  <si>
    <t>世紀高雄：城市變遷與未來願景</t>
  </si>
  <si>
    <t>9786267267660</t>
  </si>
  <si>
    <t>2025/07/07</t>
  </si>
  <si>
    <t>296</t>
  </si>
  <si>
    <t>出大甲城(台文版)</t>
  </si>
  <si>
    <t>Ballboss</t>
  </si>
  <si>
    <t>9789570876383</t>
  </si>
  <si>
    <t>2025/04/17</t>
  </si>
  <si>
    <t>297</t>
  </si>
  <si>
    <t>去深山林內採藍莓仔【附台語羅馬拼音好學習，台、華文雙語對照，CP值高】</t>
  </si>
  <si>
    <t>艾莎.貝斯寇-圖</t>
  </si>
  <si>
    <t>9789864275144</t>
  </si>
  <si>
    <t>2023/12/27</t>
  </si>
  <si>
    <t>童書&gt;繪本&gt;瑞典</t>
  </si>
  <si>
    <t>298</t>
  </si>
  <si>
    <t>古地名裡的台灣史：中部篇</t>
  </si>
  <si>
    <t>宋彥陞</t>
  </si>
  <si>
    <t>9786263746121</t>
  </si>
  <si>
    <t>2024/02/16</t>
  </si>
  <si>
    <t>299</t>
  </si>
  <si>
    <t>古地名裡的台灣史：北部篇</t>
  </si>
  <si>
    <t>9786263746114</t>
  </si>
  <si>
    <t>300</t>
  </si>
  <si>
    <t>古地名裡的台灣史：南部、東部、外島篇</t>
  </si>
  <si>
    <t>9786263746138</t>
  </si>
  <si>
    <t>301</t>
  </si>
  <si>
    <t>古早古早，有一隻燈猴：圓仔姊姊台語故事集（第一本台文橋梁圖文書，附台語有聲書音檔+全台文字詞註解）</t>
  </si>
  <si>
    <t>圓仔姊姊</t>
  </si>
  <si>
    <t>9786267275535</t>
  </si>
  <si>
    <t>2024/11/15</t>
  </si>
  <si>
    <t>302</t>
  </si>
  <si>
    <t>古早童年（三版）</t>
  </si>
  <si>
    <t>陳瑞璧</t>
  </si>
  <si>
    <t>9789865566531</t>
  </si>
  <si>
    <t>2021/10/01</t>
  </si>
  <si>
    <t>303</t>
  </si>
  <si>
    <t>台北拾遺︰哲生的41幀台北印象</t>
  </si>
  <si>
    <t>張哲生</t>
  </si>
  <si>
    <t>9786267207734</t>
  </si>
  <si>
    <t>2024/06/27</t>
  </si>
  <si>
    <t>304</t>
  </si>
  <si>
    <t>台江傳說(01)消失的海神宮殿</t>
  </si>
  <si>
    <t>陸昕慈</t>
  </si>
  <si>
    <t>9789862944530</t>
  </si>
  <si>
    <t>2026/03/30</t>
  </si>
  <si>
    <t>305</t>
  </si>
  <si>
    <t>台南紳士的府城STYLE：從在地早頓到巷弄風情，跟著大同走入南都日常【贈_舊城區美食＆散步地圖】</t>
  </si>
  <si>
    <t>林大同</t>
  </si>
  <si>
    <t>9786267680872</t>
  </si>
  <si>
    <t>2025/09/08</t>
  </si>
  <si>
    <t>幸福文化</t>
  </si>
  <si>
    <t>306</t>
  </si>
  <si>
    <t>台語心花開：學台文超入門</t>
  </si>
  <si>
    <t>鄭順聰</t>
  </si>
  <si>
    <t>9786263141650</t>
  </si>
  <si>
    <t>2022/05/01</t>
  </si>
  <si>
    <t>307</t>
  </si>
  <si>
    <t>台語歡唱繪本</t>
  </si>
  <si>
    <t>風車編輯群</t>
  </si>
  <si>
    <t>4714426209126</t>
  </si>
  <si>
    <t>2022/02/16</t>
  </si>
  <si>
    <t>藝術設計&gt;音樂</t>
  </si>
  <si>
    <t>308</t>
  </si>
  <si>
    <t>台灣「烏克蘭計畫」</t>
  </si>
  <si>
    <t>上官鼎</t>
  </si>
  <si>
    <t>9786263961364</t>
  </si>
  <si>
    <t>2024/05/10</t>
  </si>
  <si>
    <t>309</t>
  </si>
  <si>
    <t>台灣ê故事-寫予咱ê島嶼系列套書【台文台灣史，限量書盒版】(1套3冊不分售)</t>
  </si>
  <si>
    <t>謝艾倫, 李瑞源(Paparil Tavali), 葉長庚, Nakao Eki Pacidal, 席名彥, 蘇峯楠, 曾明德, 田悅承, 張峻浩, 班與唐, 陳冠任, 廖品硯, 姚惠耀, 徐祥弼,</t>
  </si>
  <si>
    <t>8667106523349</t>
  </si>
  <si>
    <t>2025/11/26</t>
  </si>
  <si>
    <t>有理文化</t>
  </si>
  <si>
    <t>310</t>
  </si>
  <si>
    <t>台灣π：發現太平洋抹香鯨</t>
  </si>
  <si>
    <t>廖鴻基等著、花蓮縣福爾摩沙協會策畫</t>
  </si>
  <si>
    <t>9786267388389</t>
  </si>
  <si>
    <t>2024/02/21</t>
  </si>
  <si>
    <t>自然科普&gt;台灣</t>
  </si>
  <si>
    <t>311</t>
  </si>
  <si>
    <t>台灣人民如何處理紛爭？</t>
  </si>
  <si>
    <t>陳恭平、林常青</t>
  </si>
  <si>
    <t>9789570878639</t>
  </si>
  <si>
    <t>2025/11/27</t>
  </si>
  <si>
    <t>312</t>
  </si>
  <si>
    <t>台灣火車傳奇</t>
  </si>
  <si>
    <t>洪致文</t>
  </si>
  <si>
    <t>9786264440431</t>
  </si>
  <si>
    <t>2025/12/12</t>
  </si>
  <si>
    <t>313</t>
  </si>
  <si>
    <t>台灣古建築裝飾深度導覽圖錄</t>
  </si>
  <si>
    <t>康鍩錫</t>
  </si>
  <si>
    <t>9789862627990</t>
  </si>
  <si>
    <t>2026/01/06</t>
  </si>
  <si>
    <t>藝術設計&gt;建築&gt;台灣</t>
  </si>
  <si>
    <t>314</t>
  </si>
  <si>
    <t>台灣史上最大罷免:深度專訪 × 專家剖析 × 完整時序回顧,來自現場的聲音與見證</t>
  </si>
  <si>
    <t>簡端良-主編</t>
  </si>
  <si>
    <t>9786269985852</t>
  </si>
  <si>
    <t>2025/07/25</t>
  </si>
  <si>
    <t>315</t>
  </si>
  <si>
    <t>台灣民俗故事(02)媽祖遶境大盛會</t>
  </si>
  <si>
    <t>王贊博◎著江正一◎繪圖</t>
  </si>
  <si>
    <t>9786264200820</t>
  </si>
  <si>
    <t>2025/04/07</t>
  </si>
  <si>
    <t>童書&gt;宗教命理</t>
  </si>
  <si>
    <t>316</t>
  </si>
  <si>
    <t>台灣生態尋寶趣(02)野地漫遊【自然探索版】</t>
  </si>
  <si>
    <t>許增巧</t>
  </si>
  <si>
    <t>9786267352755</t>
  </si>
  <si>
    <t>2025/01/02</t>
  </si>
  <si>
    <t>水滴文化</t>
  </si>
  <si>
    <t>317</t>
  </si>
  <si>
    <t>台灣光電綠能怎麼了？：從太陽能板、反核到生態浩劫、黑金弊案，一次讀懂台灣的能源危機</t>
  </si>
  <si>
    <t>鄭麗文</t>
  </si>
  <si>
    <t>9789864932269</t>
  </si>
  <si>
    <t>啟動文化</t>
  </si>
  <si>
    <t>社會科學&gt;土地</t>
  </si>
  <si>
    <t>318</t>
  </si>
  <si>
    <t>台灣光與影：日治時期電影史</t>
  </si>
  <si>
    <t>李政亮</t>
  </si>
  <si>
    <t>9786267705001</t>
  </si>
  <si>
    <t>2025/08/04</t>
  </si>
  <si>
    <t>黑體文化</t>
  </si>
  <si>
    <t>319</t>
  </si>
  <si>
    <t>台灣同運35【暢銷紀念增訂版】：一部關於勇氣、韌性與生存尊嚴的台灣同志平權紀實</t>
  </si>
  <si>
    <t>喀飛</t>
  </si>
  <si>
    <t>9786269984251</t>
  </si>
  <si>
    <t>2026/04/27</t>
  </si>
  <si>
    <t>一葦文思</t>
  </si>
  <si>
    <t>320</t>
  </si>
  <si>
    <t>台灣有事，世界有事：處在大國衝突第一線，台灣人必須理解的國際關係與戰略思維</t>
  </si>
  <si>
    <t>王立、沈伯洋</t>
  </si>
  <si>
    <t>9786264331449</t>
  </si>
  <si>
    <t>2025/12/30</t>
  </si>
  <si>
    <t>321</t>
  </si>
  <si>
    <t>322</t>
  </si>
  <si>
    <t>台灣我的祖國</t>
  </si>
  <si>
    <t>胡長松</t>
  </si>
  <si>
    <t>9789862943083</t>
  </si>
  <si>
    <t>2022/05/10</t>
  </si>
  <si>
    <t>文學&gt;詩&gt;台灣</t>
  </si>
  <si>
    <t>323</t>
  </si>
  <si>
    <t>台灣活所在:走進街巷店舖,遇見日常驚喜</t>
  </si>
  <si>
    <t>羅寗 Ning Lo</t>
  </si>
  <si>
    <t>9786264181686</t>
  </si>
  <si>
    <t>2025/05/28</t>
  </si>
  <si>
    <t>藝術設計&gt;繪畫</t>
  </si>
  <si>
    <t>324</t>
  </si>
  <si>
    <t>台灣流園藝治療</t>
  </si>
  <si>
    <t>沈瑞琳</t>
  </si>
  <si>
    <t>9786267558287</t>
  </si>
  <si>
    <t>2024/11/05</t>
  </si>
  <si>
    <t>醫療保健&gt;台灣</t>
  </si>
  <si>
    <t>325</t>
  </si>
  <si>
    <t>台灣科技島1981-2025:萌芽、破繭、轉型、爆發</t>
  </si>
  <si>
    <t>吳金榮</t>
  </si>
  <si>
    <t>9786263907256</t>
  </si>
  <si>
    <t>2025/12/11</t>
  </si>
  <si>
    <t>326</t>
  </si>
  <si>
    <t>台灣胃看香港餐桌：五感體驗異鄉食，藏於飲饌踏查裡的思與念</t>
  </si>
  <si>
    <t>包周</t>
  </si>
  <si>
    <t>9786267532959</t>
  </si>
  <si>
    <t>2025/03/10</t>
  </si>
  <si>
    <t>社會科學&gt;飲食文化</t>
  </si>
  <si>
    <t>327</t>
  </si>
  <si>
    <t>台灣苔蘚微觀誌：從零開始的賞苔之旅，帶你一起走進迷你森林！物種辨識 × 探蘚路線 × 養苔攻略</t>
  </si>
  <si>
    <t>徐子耘</t>
  </si>
  <si>
    <t>9786267401743</t>
  </si>
  <si>
    <t>2024/07/20</t>
  </si>
  <si>
    <t>328</t>
  </si>
  <si>
    <t>台灣茶第一堂課：頂尖茶人教你喝茶一定要知道的事！</t>
  </si>
  <si>
    <t>陳煥堂、林世煜</t>
  </si>
  <si>
    <t>9786267498996</t>
  </si>
  <si>
    <t>2025/06/25</t>
  </si>
  <si>
    <t>如果</t>
  </si>
  <si>
    <t>329</t>
  </si>
  <si>
    <t>台灣探險號，出發！</t>
  </si>
  <si>
    <t>9789863387497</t>
  </si>
  <si>
    <t>2025/11/05</t>
  </si>
  <si>
    <t>東方</t>
  </si>
  <si>
    <t>330</t>
  </si>
  <si>
    <t>台灣開發故事-離島地區(新版)</t>
  </si>
  <si>
    <t>趙莒玲著</t>
  </si>
  <si>
    <t>9789574902903</t>
  </si>
  <si>
    <t>2011/02/01</t>
  </si>
  <si>
    <t>童書/青少年文學&gt; 史地/傳記&gt; 歷史地理</t>
  </si>
  <si>
    <t>331</t>
  </si>
  <si>
    <t>台灣感性：台灣的庶民日常，就是亞洲的感性風景</t>
  </si>
  <si>
    <t>水瓶子、古乃方、包子逸、老屋顏工作室、言叔夏、李清志、林楷倫、范欽慧、陳允元、陳栢青、曼努、盛浩偉、郭銘哲、馮國瑄、楊子興、廖小子、劉書甫、潘家欣、盧建彰、騷夏、蘇凌</t>
  </si>
  <si>
    <t>9789570878509</t>
  </si>
  <si>
    <t>332</t>
  </si>
  <si>
    <t>台灣摺紙動物園：紙雕藝術實作 × 動物知識圖鑑，帶你摺出台灣的特有種精神！</t>
  </si>
  <si>
    <t>洪新富</t>
  </si>
  <si>
    <t>9786267401354</t>
  </si>
  <si>
    <t>2024/04/16</t>
  </si>
  <si>
    <t>漂亮家居-麥浩?</t>
  </si>
  <si>
    <t>生活風格</t>
  </si>
  <si>
    <t>333</t>
  </si>
  <si>
    <t>台灣盡靚个所在：國家公園地圖(客語繪本)</t>
  </si>
  <si>
    <t>9789570874990</t>
  </si>
  <si>
    <t>2024/11/27</t>
  </si>
  <si>
    <t>童書&gt;旅遊&gt;台灣</t>
  </si>
  <si>
    <t>334</t>
  </si>
  <si>
    <t>台灣製造:MIT台菜與台灣味,台灣人的飲食故事</t>
  </si>
  <si>
    <t>Clarissa Wei</t>
  </si>
  <si>
    <t>9786267784495</t>
  </si>
  <si>
    <t>2026/01/28</t>
  </si>
  <si>
    <t>二十張出版</t>
  </si>
  <si>
    <t>335</t>
  </si>
  <si>
    <t>台灣廟宇深度導覽圖錄</t>
  </si>
  <si>
    <t>9789862627341</t>
  </si>
  <si>
    <t>2025/04/10</t>
  </si>
  <si>
    <t>藝術設計&gt;建築</t>
  </si>
  <si>
    <t>336</t>
  </si>
  <si>
    <t>台灣踏查日記(上):伊能嘉矩的台灣田野探勘(台灣調查時代3)(典藏紀念版)</t>
  </si>
  <si>
    <t>伊能嘉矩</t>
  </si>
  <si>
    <t>9789573292395</t>
  </si>
  <si>
    <t>2021/09/07</t>
  </si>
  <si>
    <t>337</t>
  </si>
  <si>
    <t>台灣踏查日記(下):伊能嘉矩的台灣田野探勘(台灣調查時代4)(典藏紀念版)</t>
  </si>
  <si>
    <t>9789573292401</t>
  </si>
  <si>
    <t>338</t>
  </si>
  <si>
    <t>台灣療癒散步冊：10大療癒主題旅遊策展動動腦</t>
  </si>
  <si>
    <t>蘇明如蘇瑞勇</t>
  </si>
  <si>
    <t>9786263208209</t>
  </si>
  <si>
    <t>2024/04/23</t>
  </si>
  <si>
    <t>339</t>
  </si>
  <si>
    <t>台灣鐵路千公里 完全版（隨書附贈「宮脇俊三台灣紀行旅客列車時刻表1980」別冊）</t>
  </si>
  <si>
    <t>宮脇俊三</t>
  </si>
  <si>
    <t>9786269766987</t>
  </si>
  <si>
    <t>2024/04/29</t>
  </si>
  <si>
    <t>這邊出版</t>
  </si>
  <si>
    <t>340</t>
  </si>
  <si>
    <t>台灣鐵道車輛完全圖鑑：180種以上營業車輛詳盡介紹</t>
  </si>
  <si>
    <t>翁惠平、許乃懿、黃柏文、顏嘉良、顏贊成</t>
  </si>
  <si>
    <t>9789863715573</t>
  </si>
  <si>
    <t>2026/05/01</t>
  </si>
  <si>
    <t>7-12國小</t>
  </si>
  <si>
    <t>341</t>
  </si>
  <si>
    <t>四季腰瘦好吃套書（台灣文化偵探曹銘宗，帶你吃遍當季好食！）【共四冊】</t>
  </si>
  <si>
    <t>4717702127343</t>
  </si>
  <si>
    <t>342</t>
  </si>
  <si>
    <t>布農族民俗動物神話與傳說故事繪本02-小孩貪吃變猴子的故事</t>
  </si>
  <si>
    <t>田哲益、全正文</t>
  </si>
  <si>
    <t>9786263204546</t>
  </si>
  <si>
    <t>2023/06/06</t>
  </si>
  <si>
    <t>童書&gt;社會科學&gt;台灣</t>
  </si>
  <si>
    <t>343</t>
  </si>
  <si>
    <t>布農族民俗動物神話與傳說故事繪本03-孩子變老鷹的故事</t>
  </si>
  <si>
    <t>9786263204942</t>
  </si>
  <si>
    <t>2023/07/01</t>
  </si>
  <si>
    <t>344</t>
  </si>
  <si>
    <t>打台灣不如騙台灣:中國對台灣認知作戰的Q&amp;A</t>
  </si>
  <si>
    <t>沈伯洋、吳銘軒、台灣民主實驗室</t>
  </si>
  <si>
    <t>9786267483213</t>
  </si>
  <si>
    <t>2024/06/28</t>
  </si>
  <si>
    <t>345</t>
  </si>
  <si>
    <t>未完的旅程：一隻台灣黑熊的人間啟示錄</t>
  </si>
  <si>
    <t>蔡惠萍</t>
  </si>
  <si>
    <t>9789570874723</t>
  </si>
  <si>
    <t>2024/09/05</t>
  </si>
  <si>
    <t>346</t>
  </si>
  <si>
    <t>本土自然教室 ╳ SDGs保育生態套書（台灣生態尋寶趣＋野地漫遊：漫畫＋遊戲＋知識，108課綱環境教育）【共二冊】</t>
  </si>
  <si>
    <t>4717702127206</t>
  </si>
  <si>
    <t>2025/04/01</t>
  </si>
  <si>
    <t>童書&gt;自然科普</t>
  </si>
  <si>
    <t>347</t>
  </si>
  <si>
    <t>永不止息的自我追尋：台灣文學的反叛與憂鬱</t>
  </si>
  <si>
    <t>周仁宇 、陳昌偉 、陳凱婷 、 蔡佑俞 、蔡孟哲、蔡榮裕 、劉依盈、謝孟婷</t>
  </si>
  <si>
    <t>9786269786282</t>
  </si>
  <si>
    <t>2025/01/01</t>
  </si>
  <si>
    <t>無境文化</t>
  </si>
  <si>
    <t>文學&gt;台灣</t>
  </si>
  <si>
    <t>348</t>
  </si>
  <si>
    <t>生死之旅：台灣志願兵潘文揚親歷的俄烏戰爭</t>
  </si>
  <si>
    <t>潘文揚</t>
  </si>
  <si>
    <t>9786267509623</t>
  </si>
  <si>
    <t>349</t>
  </si>
  <si>
    <t>用頭帶背起一座座山：嚮導背工與巡山員的故事(增訂新版)</t>
  </si>
  <si>
    <t>沙力浪</t>
  </si>
  <si>
    <t>9789869987073</t>
  </si>
  <si>
    <t>2021/05/01</t>
  </si>
  <si>
    <t>文學&gt;台灣原住民</t>
  </si>
  <si>
    <t>350</t>
  </si>
  <si>
    <t>用點心認識台灣古早味(套書):米製點心、澱粉類點心、原型食材&amp;糖製點心、麵粉類點心、涼水甜湯、冰品，作夥呷點心！</t>
  </si>
  <si>
    <t>莊雅閔</t>
  </si>
  <si>
    <t>9786267532249</t>
  </si>
  <si>
    <t>2024/09/02</t>
  </si>
  <si>
    <t>飲食&gt;點心;糕餅&gt;台灣</t>
  </si>
  <si>
    <t>351</t>
  </si>
  <si>
    <t>石頭媽媽</t>
  </si>
  <si>
    <t>蔡淑</t>
  </si>
  <si>
    <t>9789862115671</t>
  </si>
  <si>
    <t>2012/10/01</t>
  </si>
  <si>
    <t>352</t>
  </si>
  <si>
    <t>再製女神：當代台灣女作家的女性重塑與歷史重詮</t>
  </si>
  <si>
    <t>李欣倫</t>
  </si>
  <si>
    <t>9789865659813</t>
  </si>
  <si>
    <t>2025/09/26</t>
  </si>
  <si>
    <t>353</t>
  </si>
  <si>
    <t>印尼．菲律賓人  輕鬆學中文‧台語</t>
  </si>
  <si>
    <t>施明威，SARI LASMINI ◎合著</t>
  </si>
  <si>
    <t>9786267203613</t>
  </si>
  <si>
    <t>2023/05/31</t>
  </si>
  <si>
    <t>布可屋</t>
  </si>
  <si>
    <t>語言學習</t>
  </si>
  <si>
    <t>354</t>
  </si>
  <si>
    <t>回家(繪本)</t>
  </si>
  <si>
    <t>拉勞蘭部落、盧怡方</t>
  </si>
  <si>
    <t>9786269585106</t>
  </si>
  <si>
    <t>2022/04/27</t>
  </si>
  <si>
    <t>童書&gt;繪本&gt;台灣原住民</t>
  </si>
  <si>
    <t>355</t>
  </si>
  <si>
    <t>在自由之地：24位台灣青年的美國觀察</t>
  </si>
  <si>
    <t>朱安如、涂豐恩、張竹芩</t>
  </si>
  <si>
    <t>9786269258451</t>
  </si>
  <si>
    <t>2025/11/17</t>
  </si>
  <si>
    <t>356</t>
  </si>
  <si>
    <t>地下鐵【台文版】</t>
  </si>
  <si>
    <t>幾米</t>
  </si>
  <si>
    <t>9786267483664</t>
  </si>
  <si>
    <t>2024/10/01</t>
  </si>
  <si>
    <t>文學&gt;散文&gt;台灣</t>
  </si>
  <si>
    <t>357</t>
  </si>
  <si>
    <t>地面地下-四季昆蟲微觀圖記</t>
  </si>
  <si>
    <t>邱承宗</t>
  </si>
  <si>
    <t>9789862116272</t>
  </si>
  <si>
    <t>2016/07/01</t>
  </si>
  <si>
    <t>358</t>
  </si>
  <si>
    <t>多胞胎共和國：台灣人工生殖的希望與風險</t>
  </si>
  <si>
    <t>吳嘉苓</t>
  </si>
  <si>
    <t>9786267645185</t>
  </si>
  <si>
    <t>2025/03/28</t>
  </si>
  <si>
    <t>359</t>
  </si>
  <si>
    <t>多謝你毛毛兔仔，這个下晡真好耍【台語版幾米經典繪本】</t>
  </si>
  <si>
    <t>9786267317877</t>
  </si>
  <si>
    <t>2023/10/06</t>
  </si>
  <si>
    <t>樂齡</t>
  </si>
  <si>
    <t>360</t>
  </si>
  <si>
    <t>好一個瓜啊！(三版)</t>
  </si>
  <si>
    <t>9786267237847</t>
  </si>
  <si>
    <t>2024/07/01</t>
  </si>
  <si>
    <t>361</t>
  </si>
  <si>
    <t>好忙的除夕(中英雙語+線上朗讀)</t>
  </si>
  <si>
    <t>9789861617459</t>
  </si>
  <si>
    <t>362</t>
  </si>
  <si>
    <t>好冷喔！【附故事朗讀】</t>
  </si>
  <si>
    <t>李苑芳</t>
  </si>
  <si>
    <t>9789574906130</t>
  </si>
  <si>
    <t>童書&gt;親子教養</t>
  </si>
  <si>
    <t>363</t>
  </si>
  <si>
    <t>好冷靜好冷靜的鱷魚醫生</t>
  </si>
  <si>
    <t>楊子葦</t>
  </si>
  <si>
    <t>9786267632376</t>
  </si>
  <si>
    <t>2025/06/01</t>
  </si>
  <si>
    <t>364</t>
  </si>
  <si>
    <t>好佳哉！(獅子、大象和小老鼠陪你一起長大系列3 臺文／華文雙語生活品格教育繪本，附臺語朗讀音檔)</t>
  </si>
  <si>
    <t>陶樂蒂</t>
  </si>
  <si>
    <t>9786267281826</t>
  </si>
  <si>
    <t>2024/05/28</t>
  </si>
  <si>
    <t>小麥田</t>
  </si>
  <si>
    <t>365</t>
  </si>
  <si>
    <t>好物仔</t>
  </si>
  <si>
    <t>9789862944028</t>
  </si>
  <si>
    <t>2025/02/21</t>
  </si>
  <si>
    <t>366</t>
  </si>
  <si>
    <t>好難養的芋頭</t>
  </si>
  <si>
    <t>文／何奕佳 圖／張哲銘</t>
  </si>
  <si>
    <t>9789861615899</t>
  </si>
  <si>
    <t>2018/10/01</t>
  </si>
  <si>
    <t>367</t>
  </si>
  <si>
    <t>字型散步Next：從台灣日常出發，無所不在的中文字型學</t>
  </si>
  <si>
    <t>柯志杰, 蘇煒翔</t>
  </si>
  <si>
    <t>9786263156968</t>
  </si>
  <si>
    <t>2025/09/09</t>
  </si>
  <si>
    <t>臉譜文化</t>
  </si>
  <si>
    <t>368</t>
  </si>
  <si>
    <t>守護4141個心跳</t>
  </si>
  <si>
    <t>徐超斌醫師</t>
  </si>
  <si>
    <t>9789866745942</t>
  </si>
  <si>
    <t>2009/12/31</t>
  </si>
  <si>
    <t>心理勵志&gt; 生死醫病</t>
  </si>
  <si>
    <t>369</t>
  </si>
  <si>
    <t>守護寶地大作戰(二版)</t>
  </si>
  <si>
    <t>9786267127179</t>
  </si>
  <si>
    <t>2022/06/01</t>
  </si>
  <si>
    <t>370</t>
  </si>
  <si>
    <t>安洛米恩之死</t>
  </si>
  <si>
    <t>夏曼.藍波安</t>
  </si>
  <si>
    <t>9789863870487</t>
  </si>
  <si>
    <t>371</t>
  </si>
  <si>
    <t>灰灰小姑娘</t>
  </si>
  <si>
    <t>利雅君</t>
  </si>
  <si>
    <t>9789862117804</t>
  </si>
  <si>
    <t>2018/02/01</t>
  </si>
  <si>
    <t>372</t>
  </si>
  <si>
    <t>牟吉</t>
  </si>
  <si>
    <t>角斯CHIAOS TSENG、WENDY YEH</t>
  </si>
  <si>
    <t>9789865549435</t>
  </si>
  <si>
    <t>2021/01/30</t>
  </si>
  <si>
    <t>373</t>
  </si>
  <si>
    <t>百步蛇的故事(布農族民俗動物神話與傳說故事繪本05)</t>
  </si>
  <si>
    <t>田哲益◎著王顧明◎繪圖</t>
  </si>
  <si>
    <t>9786264200455</t>
  </si>
  <si>
    <t>2025/03/06</t>
  </si>
  <si>
    <t>374</t>
  </si>
  <si>
    <t>米糕甜蜜蜜</t>
  </si>
  <si>
    <t>9789861617619</t>
  </si>
  <si>
    <t>2025/03/01</t>
  </si>
  <si>
    <t>375</t>
  </si>
  <si>
    <t>老皮箱踅踅唸：眷村話舊(台文繪本)</t>
  </si>
  <si>
    <t>9789865322366</t>
  </si>
  <si>
    <t>2020/12/13</t>
  </si>
  <si>
    <t>376</t>
  </si>
  <si>
    <t>老海人</t>
  </si>
  <si>
    <t>9789866377112</t>
  </si>
  <si>
    <t>2009/09/10</t>
  </si>
  <si>
    <t>377</t>
  </si>
  <si>
    <t>自卑與超越：生命對你意味著什麼(全新修訂二版，台灣阿德勒專家審定＆導讀)</t>
  </si>
  <si>
    <t>阿爾弗雷德.阿德勒</t>
  </si>
  <si>
    <t>9786267591444</t>
  </si>
  <si>
    <t>2025/08/11</t>
  </si>
  <si>
    <t>好人</t>
  </si>
  <si>
    <t>哲學類</t>
  </si>
  <si>
    <t>心理勵志</t>
  </si>
  <si>
    <t>378</t>
  </si>
  <si>
    <t>艾瑪・媽媽(二版)</t>
  </si>
  <si>
    <t>孫心瑜</t>
  </si>
  <si>
    <t>9786267350683</t>
  </si>
  <si>
    <t>379</t>
  </si>
  <si>
    <t>伯朗咖啡和地瓜球,當然也有滷肉飯:馬來西亞的台灣食光紀事</t>
  </si>
  <si>
    <t>楊迎楹、陳妙恩 編</t>
  </si>
  <si>
    <t>9786264197465</t>
  </si>
  <si>
    <t>380</t>
  </si>
  <si>
    <t>你一半 我一半(台文繪本)</t>
  </si>
  <si>
    <t>儲玉玲文; 儲嘉慧圖 </t>
  </si>
  <si>
    <t>9786263518292</t>
  </si>
  <si>
    <t>2025/07/10</t>
  </si>
  <si>
    <t>KIDO親子時堂</t>
  </si>
  <si>
    <t>381</t>
  </si>
  <si>
    <t>你怎麼能不愛台灣棒球？台灣棒球完全保存MOOK</t>
  </si>
  <si>
    <t>有理編輯部</t>
  </si>
  <si>
    <t>9786267811498</t>
  </si>
  <si>
    <t>382</t>
  </si>
  <si>
    <t>你是跟屁蟲嗎？</t>
  </si>
  <si>
    <t>方素珍</t>
  </si>
  <si>
    <t>9789574907731</t>
  </si>
  <si>
    <t>2026/06/05</t>
  </si>
  <si>
    <t>童書/青少年文學&gt;幼幼書&gt;幼兒故事</t>
  </si>
  <si>
    <t>383</t>
  </si>
  <si>
    <t>冷和平：冷戰、熱戰之外的第三條路，台灣該如何選擇？</t>
  </si>
  <si>
    <t>邁可．多伊爾</t>
  </si>
  <si>
    <t>9786269797448</t>
  </si>
  <si>
    <t>2024/04/01</t>
  </si>
  <si>
    <t>明白文化</t>
  </si>
  <si>
    <t>384</t>
  </si>
  <si>
    <t>吾朋友歇在隔壁莊（客語繪本，附朗讀音檔）</t>
  </si>
  <si>
    <t>9789570875003</t>
  </si>
  <si>
    <t>2024/11/20</t>
  </si>
  <si>
    <t>385</t>
  </si>
  <si>
    <t>坐火車遊台灣：環島夢想列車-啟航</t>
  </si>
  <si>
    <t>劉昭輝</t>
  </si>
  <si>
    <t>9786267064832</t>
  </si>
  <si>
    <t>朱雀文化</t>
  </si>
  <si>
    <t>386</t>
  </si>
  <si>
    <t>屁窒囡仔的謝師宴</t>
  </si>
  <si>
    <t>林連鍠</t>
  </si>
  <si>
    <t>9789864507252</t>
  </si>
  <si>
    <t>2024/11/01</t>
  </si>
  <si>
    <t>387</t>
  </si>
  <si>
    <t>我也能畫一本書(共三冊)</t>
  </si>
  <si>
    <t>蕭立安; 蔡佩芬; 陳楷潼; 陳佳珦; 張以恆; 小螞以</t>
  </si>
  <si>
    <t>4711720010045</t>
  </si>
  <si>
    <t>2026/01/12</t>
  </si>
  <si>
    <t>普生數位科技</t>
  </si>
  <si>
    <t>388</t>
  </si>
  <si>
    <t>我不做英雄:一個台灣人在烏克蘭的戰爭洗禮</t>
  </si>
  <si>
    <t>陳晞</t>
  </si>
  <si>
    <t>9786269802890</t>
  </si>
  <si>
    <t>2024/06/11</t>
  </si>
  <si>
    <t>燎原出版</t>
  </si>
  <si>
    <t>389</t>
  </si>
  <si>
    <t>我有一个夢Guá ū tsi̍t-ê bāng(台文版)</t>
  </si>
  <si>
    <t>馬丁.路德.金恩</t>
  </si>
  <si>
    <t>9786267811412</t>
  </si>
  <si>
    <t>2026/01/19</t>
  </si>
  <si>
    <t>390</t>
  </si>
  <si>
    <t>我的名字叫希望(四版)</t>
  </si>
  <si>
    <t>9786267632154</t>
  </si>
  <si>
    <t>391</t>
  </si>
  <si>
    <t>392</t>
  </si>
  <si>
    <t>我的花卉寶寶(二版)</t>
  </si>
  <si>
    <t>陳麗雅</t>
  </si>
  <si>
    <t>9786267883143</t>
  </si>
  <si>
    <t>393</t>
  </si>
  <si>
    <t>我的家鄉真美麗(二版)</t>
  </si>
  <si>
    <t>馬景賢</t>
  </si>
  <si>
    <t>9789865513085</t>
  </si>
  <si>
    <t>2020/04/01</t>
  </si>
  <si>
    <t>童書/青少年文學&gt; 幼幼書&gt; 幼兒故事</t>
  </si>
  <si>
    <t>394</t>
  </si>
  <si>
    <t>我的第一本台灣話：6天學會說台語(QR Code版)</t>
  </si>
  <si>
    <t>許明芳◎編著</t>
  </si>
  <si>
    <t>9786267544174</t>
  </si>
  <si>
    <t>2024/09/11</t>
  </si>
  <si>
    <t>395</t>
  </si>
  <si>
    <t>我的第一本廣東話單字：旅遊經商、遊學留學、上班工作必備寶典 (QR Code版)</t>
  </si>
  <si>
    <t>何美玲</t>
  </si>
  <si>
    <t>9786267418376</t>
  </si>
  <si>
    <t>396</t>
  </si>
  <si>
    <t>我的臺灣小百科</t>
  </si>
  <si>
    <t>9789865253080</t>
  </si>
  <si>
    <t>2021/10/22</t>
  </si>
  <si>
    <t>397</t>
  </si>
  <si>
    <t>我的獵人爺爺—達駭黑熊(二版)</t>
  </si>
  <si>
    <t>乜寇.索克魯曼</t>
  </si>
  <si>
    <t>9786269684175</t>
  </si>
  <si>
    <t>2026/02/12</t>
  </si>
  <si>
    <t>398</t>
  </si>
  <si>
    <t>我長在打開的樹洞</t>
  </si>
  <si>
    <t>程廷Apyang Imig</t>
  </si>
  <si>
    <t>9789864503421</t>
  </si>
  <si>
    <t>399</t>
  </si>
  <si>
    <t>我城我鎮:走入台灣十二座小城的故事</t>
  </si>
  <si>
    <t>吳緯婷</t>
  </si>
  <si>
    <t>9786269633074</t>
  </si>
  <si>
    <t>2024/10/15</t>
  </si>
  <si>
    <t>一頁台北</t>
  </si>
  <si>
    <t>400</t>
  </si>
  <si>
    <t>我是文魯彬,我是台灣人:希望台灣因為我而得以生態永續；地球因為台灣而停止崩壞。(二版)</t>
  </si>
  <si>
    <t>文魯彬</t>
  </si>
  <si>
    <t>9789868143920</t>
  </si>
  <si>
    <t>2024/11/22</t>
  </si>
  <si>
    <t>401</t>
  </si>
  <si>
    <t>我們去釣魚(二版)</t>
  </si>
  <si>
    <t>9789865566623</t>
  </si>
  <si>
    <t>2021/07/01</t>
  </si>
  <si>
    <t>402</t>
  </si>
  <si>
    <t>我無哭</t>
  </si>
  <si>
    <t>9789862944035</t>
  </si>
  <si>
    <t>403</t>
  </si>
  <si>
    <t>我會曉(台文繪本，附朗讀音檔、台語羅馬字)</t>
  </si>
  <si>
    <t>9789570874846</t>
  </si>
  <si>
    <t>2024/09/19</t>
  </si>
  <si>
    <t>404</t>
  </si>
  <si>
    <t>我屬豬</t>
  </si>
  <si>
    <t>任溶溶</t>
  </si>
  <si>
    <t>9789862112137</t>
  </si>
  <si>
    <t>2011/03/26</t>
  </si>
  <si>
    <t>405</t>
  </si>
  <si>
    <t>找樹的人2：台灣巨木地圖全紀錄</t>
  </si>
  <si>
    <t>徐嘉君</t>
  </si>
  <si>
    <t>9786263909540</t>
  </si>
  <si>
    <t>2026/04/23</t>
  </si>
  <si>
    <t>自然科普&gt;森林</t>
  </si>
  <si>
    <t>406</t>
  </si>
  <si>
    <t>每個人的花期不同：允許自己是那朵晚開的花(★萬特特寫給女性覺醒之書─特別收錄：寫給台灣讀者的一封信)</t>
  </si>
  <si>
    <t>萬特特</t>
  </si>
  <si>
    <t>9786267427101</t>
  </si>
  <si>
    <t>407</t>
  </si>
  <si>
    <t>每蜀日都是好日子-日日都是好時光(閩東語繪本)</t>
  </si>
  <si>
    <t>黃惠鈴文；徐建國圖；陳高志閩東語翻譯</t>
  </si>
  <si>
    <t>9789862943311</t>
  </si>
  <si>
    <t>2022/12/17</t>
  </si>
  <si>
    <t>星月書房-玉山</t>
  </si>
  <si>
    <t>408</t>
  </si>
  <si>
    <t>沙小妹找媽媽</t>
  </si>
  <si>
    <t>9786267237564</t>
  </si>
  <si>
    <t>409</t>
  </si>
  <si>
    <t>走她的路:台灣「女路」旅遊指南,帶你探索每個她的故事!</t>
  </si>
  <si>
    <t>財團法人婦女權益促進發展基金會</t>
  </si>
  <si>
    <t>9786263965409</t>
  </si>
  <si>
    <t>2024/08/27</t>
  </si>
  <si>
    <t>410</t>
  </si>
  <si>
    <t>走進台灣新文學史：方法與視野</t>
  </si>
  <si>
    <t>陳芳明</t>
  </si>
  <si>
    <t>9789570878226</t>
  </si>
  <si>
    <t>2025/10/30</t>
  </si>
  <si>
    <t>411</t>
  </si>
  <si>
    <t>走進布農的山</t>
  </si>
  <si>
    <t>郭彥仁（郭熊）</t>
  </si>
  <si>
    <t>9789865562540</t>
  </si>
  <si>
    <t>2022/04/05</t>
  </si>
  <si>
    <t>大家</t>
  </si>
  <si>
    <t>412</t>
  </si>
  <si>
    <t>走進老地方的時光機：台灣巷弄祕境的前世今生</t>
  </si>
  <si>
    <t>地方賊</t>
  </si>
  <si>
    <t>9786267520611</t>
  </si>
  <si>
    <t>413</t>
  </si>
  <si>
    <t>走過:一個台籍原住民老兵的故事</t>
  </si>
  <si>
    <t>巴代</t>
  </si>
  <si>
    <t>9789866377792</t>
  </si>
  <si>
    <t>2010/06/01</t>
  </si>
  <si>
    <t>文學小說&gt; 華文創作&gt; 小說</t>
  </si>
  <si>
    <t>414</t>
  </si>
  <si>
    <t>足芳的(附線上台語朗讀音檔)</t>
  </si>
  <si>
    <t>9786267525760</t>
  </si>
  <si>
    <t>2025/09/27</t>
  </si>
  <si>
    <t>415</t>
  </si>
  <si>
    <t>那年夏天，我們在蘭嶼</t>
  </si>
  <si>
    <t>王洛夫</t>
  </si>
  <si>
    <t>9786267271421</t>
  </si>
  <si>
    <t>2023/11/08</t>
  </si>
  <si>
    <t>416</t>
  </si>
  <si>
    <t>那些人，那些事，在寶島-臺灣平埔族生活圖誌</t>
  </si>
  <si>
    <t>國家圖書館、小魯文化/編著</t>
  </si>
  <si>
    <t>9789576785320</t>
  </si>
  <si>
    <t>童書&gt;社會科學&gt;民族志</t>
  </si>
  <si>
    <t>417</t>
  </si>
  <si>
    <t>那些後到的人：高雄以住代護、新世紀裡的陸海空眷村故事集</t>
  </si>
  <si>
    <t>郭銘哲</t>
  </si>
  <si>
    <t>9786267267448</t>
  </si>
  <si>
    <t>418</t>
  </si>
  <si>
    <t>邦查女孩</t>
  </si>
  <si>
    <t>甘耀明</t>
  </si>
  <si>
    <t>9789864060139</t>
  </si>
  <si>
    <t>2015/05/20</t>
  </si>
  <si>
    <t>419</t>
  </si>
  <si>
    <t>阮劇團台語劇本集Ⅰ：熱天酣眠、愛錢A恰</t>
  </si>
  <si>
    <t>阮劇團；劇本改編創作：吳明倫、MC JJ</t>
  </si>
  <si>
    <t>9786263146372</t>
  </si>
  <si>
    <t>2024/04/08</t>
  </si>
  <si>
    <t>7-8歲</t>
  </si>
  <si>
    <t>藝術設計&gt;戲劇&gt;各類戲劇&gt;東方戲劇</t>
  </si>
  <si>
    <t>420</t>
  </si>
  <si>
    <t>阮劇團台語劇本集Ⅱ：十殿</t>
  </si>
  <si>
    <t>阮劇團；劇本創作：吳明倫、MC JJ</t>
  </si>
  <si>
    <t>9786263146389</t>
  </si>
  <si>
    <t>421</t>
  </si>
  <si>
    <t>來一匙世界甜點史：食譜古籍觀察 佐 風味料理演變，揭開甜點蘊藏的百年歷史趣聞與時代意義</t>
  </si>
  <si>
    <t>潔莉・昆席歐Jeri Quinzio</t>
  </si>
  <si>
    <t>9786267401453</t>
  </si>
  <si>
    <t>2024/05/30</t>
  </si>
  <si>
    <t>422</t>
  </si>
  <si>
    <t>來去後山唱山歌</t>
  </si>
  <si>
    <t>9789864507344</t>
  </si>
  <si>
    <t>423</t>
  </si>
  <si>
    <t>來去問熊先生(台、華文合訂本)</t>
  </si>
  <si>
    <t>瑪喬麗.弗拉克-圖</t>
  </si>
  <si>
    <t>9789864275106</t>
  </si>
  <si>
    <t>2023/11/01</t>
  </si>
  <si>
    <t>童書&gt;繪本&gt;美國</t>
  </si>
  <si>
    <t>424</t>
  </si>
  <si>
    <t>來自地底的禮物(鄒族)</t>
  </si>
  <si>
    <t>楊寶山</t>
  </si>
  <si>
    <t>9789861937205</t>
  </si>
  <si>
    <t>2012/03/01</t>
  </si>
  <si>
    <t>世一文化</t>
  </si>
  <si>
    <t>童書/青少年文學&gt; 圖畫書&gt; 知識繪本</t>
  </si>
  <si>
    <t>425</t>
  </si>
  <si>
    <t>來唱火金姑</t>
  </si>
  <si>
    <t>9789861937069</t>
  </si>
  <si>
    <t>2012/04/15</t>
  </si>
  <si>
    <t>童書/青少年文學&gt; 幼幼書&gt; 兒歌律動/手指謠</t>
  </si>
  <si>
    <t>426</t>
  </si>
  <si>
    <t>兒歌識字登高樓：台北101篇</t>
  </si>
  <si>
    <t>李光福</t>
  </si>
  <si>
    <t>9786267127025</t>
  </si>
  <si>
    <t>童書&gt;語言學習&gt;台灣</t>
  </si>
  <si>
    <t>427</t>
  </si>
  <si>
    <t>典藏高雄：高雄市百年物語</t>
  </si>
  <si>
    <t>莊建華莊天賜蔡沐恩高雄市立歷史博物館</t>
  </si>
  <si>
    <t>9786267267417</t>
  </si>
  <si>
    <t>2024/12/23</t>
  </si>
  <si>
    <t>人文史地&gt;台灣&gt;高雄市</t>
  </si>
  <si>
    <t>428</t>
  </si>
  <si>
    <t>到烏龜國去(二版)</t>
  </si>
  <si>
    <t>劉旭恭</t>
  </si>
  <si>
    <t>9786267127315</t>
  </si>
  <si>
    <t>429</t>
  </si>
  <si>
    <t>430</t>
  </si>
  <si>
    <t>呱呱搶救大西瓜：讀繪本，掃QRCode聽台語講故事</t>
  </si>
  <si>
    <t>林秋萍</t>
  </si>
  <si>
    <t>9786263435483</t>
  </si>
  <si>
    <t>2023/01/28</t>
  </si>
  <si>
    <t>童書/青少年文學&gt;圖畫書&gt;生命教育</t>
  </si>
  <si>
    <t>431</t>
  </si>
  <si>
    <t>味蕾上的童年：150種台灣在地古早好滋味</t>
  </si>
  <si>
    <t>林金進</t>
  </si>
  <si>
    <t>9786264203210</t>
  </si>
  <si>
    <t>432</t>
  </si>
  <si>
    <t>呼吸的的石板屋</t>
  </si>
  <si>
    <t>林憲正</t>
  </si>
  <si>
    <t>9789865556433</t>
  </si>
  <si>
    <t>2022/09/01</t>
  </si>
  <si>
    <t>小文房</t>
  </si>
  <si>
    <t>433</t>
  </si>
  <si>
    <t>和爸爸去散步</t>
  </si>
  <si>
    <t>李苑芳著/崔麗君譯</t>
  </si>
  <si>
    <t>9789574906512</t>
  </si>
  <si>
    <t>2023/08/01</t>
  </si>
  <si>
    <t>434</t>
  </si>
  <si>
    <t>妹妹的新丁粄(注音版)</t>
  </si>
  <si>
    <t>9789864507795</t>
  </si>
  <si>
    <t>435</t>
  </si>
  <si>
    <t>尚好呷台灣小吃:國寶級專家親授最道地的美味,在家輕鬆學╳創業致富配方╳品味文化典故</t>
  </si>
  <si>
    <t>劉妙華</t>
  </si>
  <si>
    <t>9786267275771</t>
  </si>
  <si>
    <t>飲食&gt;食譜&gt;台灣</t>
  </si>
  <si>
    <t>436</t>
  </si>
  <si>
    <t>府城住宅400年</t>
  </si>
  <si>
    <t>蔡侑樺</t>
  </si>
  <si>
    <t>9786267485583</t>
  </si>
  <si>
    <t>2024/12/31</t>
  </si>
  <si>
    <t>暖暖書屋</t>
  </si>
  <si>
    <t>437</t>
  </si>
  <si>
    <t>府城蜉蝣記</t>
  </si>
  <si>
    <t>吳昭明</t>
  </si>
  <si>
    <t>9789862943571</t>
  </si>
  <si>
    <t>2023/10/03</t>
  </si>
  <si>
    <t>438</t>
  </si>
  <si>
    <t>怪獸媽媽【台文版，附台語朗讀音檔】</t>
  </si>
  <si>
    <t>貓魚</t>
  </si>
  <si>
    <t>9786264174756</t>
  </si>
  <si>
    <t>439</t>
  </si>
  <si>
    <t>明日之鋅-「台灣熱浸鍍鋅之父」蕭勝彥翻轉傳統，重塑產業百年價值的心法智慧</t>
  </si>
  <si>
    <t>王梅</t>
  </si>
  <si>
    <t>9786267431146</t>
  </si>
  <si>
    <t>2024/01/26</t>
  </si>
  <si>
    <t>布克文化</t>
  </si>
  <si>
    <t>440</t>
  </si>
  <si>
    <t>東方之東【平路台灣三部曲．一】</t>
  </si>
  <si>
    <t>9786263145818</t>
  </si>
  <si>
    <t>2024/01/31</t>
  </si>
  <si>
    <t>441</t>
  </si>
  <si>
    <t>東谷沙飛:山的孩子笛昂</t>
  </si>
  <si>
    <t>Neqou Soqluman</t>
  </si>
  <si>
    <t>9786269684168</t>
  </si>
  <si>
    <t>童書&gt;台灣原住民</t>
  </si>
  <si>
    <t>442</t>
  </si>
  <si>
    <t>東谷沙飛傳奇(Ⅰ)失落的古南島</t>
  </si>
  <si>
    <t>9786269684144</t>
  </si>
  <si>
    <t>2024/12/05</t>
  </si>
  <si>
    <t>443</t>
  </si>
  <si>
    <t>東谷沙飛傳奇(Ⅱ)拯救月亮</t>
  </si>
  <si>
    <t>9786269684151</t>
  </si>
  <si>
    <t>444</t>
  </si>
  <si>
    <t>法式甜點裡的台灣：味道、風格、神髓，台灣甜點師們的自我追尋</t>
  </si>
  <si>
    <t>Ying C. 陳穎</t>
  </si>
  <si>
    <t>9786267568149</t>
  </si>
  <si>
    <t>日出</t>
  </si>
  <si>
    <t>飲食&gt;台灣</t>
  </si>
  <si>
    <t>445</t>
  </si>
  <si>
    <t>波濤從來就沒有停止過：曾貴海詩集（三）</t>
  </si>
  <si>
    <t>曾貴海</t>
  </si>
  <si>
    <t>9789862943656</t>
  </si>
  <si>
    <t>446</t>
  </si>
  <si>
    <t>爸爸小時候：第一次逛迪化街</t>
  </si>
  <si>
    <t>朱秀芳</t>
  </si>
  <si>
    <t>9786267177266</t>
  </si>
  <si>
    <t>2022/10/10</t>
  </si>
  <si>
    <t>447</t>
  </si>
  <si>
    <t>爸爸的友善茶園(二版)</t>
  </si>
  <si>
    <t>9786267043929</t>
  </si>
  <si>
    <t>2022/04/01</t>
  </si>
  <si>
    <t>448</t>
  </si>
  <si>
    <t>爸爸是海洋魚類生態學家</t>
  </si>
  <si>
    <t>張東君</t>
  </si>
  <si>
    <t>9786267772218</t>
  </si>
  <si>
    <t>2025/11/01</t>
  </si>
  <si>
    <t>449</t>
  </si>
  <si>
    <t>直到寫出完美小說(收錄作者給台灣讀者的話及印刷簽名扉頁)</t>
  </si>
  <si>
    <t>川崎七音 (Kawasaki Nao )</t>
  </si>
  <si>
    <t>9786267609187</t>
  </si>
  <si>
    <t>2025/03/04</t>
  </si>
  <si>
    <t>獨步文化</t>
  </si>
  <si>
    <t>450</t>
  </si>
  <si>
    <t>花樣主體，同治國家：台灣當代社會之性別與法律躍進</t>
  </si>
  <si>
    <t>陳宜倩</t>
  </si>
  <si>
    <t>9786264332019</t>
  </si>
  <si>
    <t>2026/04/28</t>
  </si>
  <si>
    <t>451</t>
  </si>
  <si>
    <t>芳子的十四歲夏天：我與神風特攻隊在台灣的日子</t>
  </si>
  <si>
    <t>中田芳子</t>
  </si>
  <si>
    <t>9786263902145</t>
  </si>
  <si>
    <t>2024/11/14</t>
  </si>
  <si>
    <t>452</t>
  </si>
  <si>
    <t>虱目魚的身世：從台灣到世界，從產地到餐桌的完全考察</t>
  </si>
  <si>
    <t>曹銘宗、盧靖穎</t>
  </si>
  <si>
    <t>9789862627204</t>
  </si>
  <si>
    <t>2024/11/21</t>
  </si>
  <si>
    <t>453</t>
  </si>
  <si>
    <t>阿公的祕密基地</t>
  </si>
  <si>
    <t>王文華</t>
  </si>
  <si>
    <t>9789865450625</t>
  </si>
  <si>
    <t>2021/2/1</t>
  </si>
  <si>
    <t>科寶文化</t>
  </si>
  <si>
    <t>童書/青少年文學&gt; 圖畫書&gt; 親情/友誼</t>
  </si>
  <si>
    <t>454</t>
  </si>
  <si>
    <t>阿母佇佗位？阿爸佇佗位？:和紅嬰仔做伙讀台語有聲書(正反雙封面設計)(附:親子互動雙鏡面卡紙)</t>
  </si>
  <si>
    <t>林采風</t>
  </si>
  <si>
    <t>9786269952731</t>
  </si>
  <si>
    <t>小鯨生活文創</t>
  </si>
  <si>
    <t>455</t>
  </si>
  <si>
    <t>阿長師ê西裝店【台文繪本】：一針一線紩出幸福ê記憶(附朗讀音檔+西裝店小百科台語學習)</t>
  </si>
  <si>
    <t>陳麗君</t>
  </si>
  <si>
    <t>9786267828434</t>
  </si>
  <si>
    <t>晴好文化</t>
  </si>
  <si>
    <t>456</t>
  </si>
  <si>
    <t>阿美族神話與傳說【新版】</t>
  </si>
  <si>
    <t>田哲益</t>
  </si>
  <si>
    <t>9786263203969</t>
  </si>
  <si>
    <t>2023/04/06</t>
  </si>
  <si>
    <t>社會科學&gt;民謠;傳說&gt;台灣</t>
  </si>
  <si>
    <t>457</t>
  </si>
  <si>
    <t>阿英上學</t>
  </si>
  <si>
    <t>蔡淑媖</t>
  </si>
  <si>
    <t>9789865556570</t>
  </si>
  <si>
    <t>2023/01/03</t>
  </si>
  <si>
    <t>458</t>
  </si>
  <si>
    <t>阿英放學</t>
  </si>
  <si>
    <t>9789865556587</t>
  </si>
  <si>
    <t>459</t>
  </si>
  <si>
    <t>阿祖，再見(暢銷紀念版.臺灣囡仔的生命課)</t>
  </si>
  <si>
    <t>林柏廷</t>
  </si>
  <si>
    <t>4711488871926</t>
  </si>
  <si>
    <t>2026/03/23</t>
  </si>
  <si>
    <t>460</t>
  </si>
  <si>
    <t>阿祖的日子紙</t>
  </si>
  <si>
    <t>楊富閔</t>
  </si>
  <si>
    <t>9789570877700</t>
  </si>
  <si>
    <t>2025/09/04</t>
  </si>
  <si>
    <t>461</t>
  </si>
  <si>
    <t>阿婆的燈籠樹（二版）</t>
  </si>
  <si>
    <t>9786267043011</t>
  </si>
  <si>
    <t>462</t>
  </si>
  <si>
    <t>阿森e筆記:自然書寫e時光(臺文繪本)</t>
  </si>
  <si>
    <t>林佳靜</t>
  </si>
  <si>
    <t>9789860551792</t>
  </si>
  <si>
    <t>463</t>
  </si>
  <si>
    <t>阿嬤的碗公(附台語文版)</t>
  </si>
  <si>
    <t>吳在</t>
  </si>
  <si>
    <t>9789862941256</t>
  </si>
  <si>
    <t>464</t>
  </si>
  <si>
    <t>青蛙與男孩（二版）</t>
  </si>
  <si>
    <t>蕭袤</t>
  </si>
  <si>
    <t>9786267043547</t>
  </si>
  <si>
    <t>2022/01/01</t>
  </si>
  <si>
    <t>童書/青少年文學&gt; 圖畫書&gt; 自我認同</t>
  </si>
  <si>
    <t>465</t>
  </si>
  <si>
    <t>前面還有什麼車？(三版)</t>
  </si>
  <si>
    <t>哲也</t>
  </si>
  <si>
    <t>9786267467572</t>
  </si>
  <si>
    <t>466</t>
  </si>
  <si>
    <t>咱的日子•咱的故事-台文繪本套書(《熱天的時陣》、《咱的日子》、《我的朋友蹛佇隔壁庄》,附贈「生活就是一首詩」台文筆記本)</t>
  </si>
  <si>
    <t>4711132384772</t>
  </si>
  <si>
    <t>2024/05/16</t>
  </si>
  <si>
    <t>467</t>
  </si>
  <si>
    <t>咱的囡仔歌：月光光 踅夜市</t>
  </si>
  <si>
    <t>9786267069783</t>
  </si>
  <si>
    <t>468</t>
  </si>
  <si>
    <t>咱的囡仔歌：菜瓜開花</t>
  </si>
  <si>
    <t>9786267069776</t>
  </si>
  <si>
    <t>469</t>
  </si>
  <si>
    <t>咱的厝邊佇佗位</t>
  </si>
  <si>
    <t>鍾育紋, 張寶明文; 陳俐璇圖</t>
  </si>
  <si>
    <t>9786267060742</t>
  </si>
  <si>
    <t>2025/08/01</t>
  </si>
  <si>
    <t>開朗雜誌</t>
  </si>
  <si>
    <t>470</t>
  </si>
  <si>
    <t>哈客小子</t>
  </si>
  <si>
    <t>9789862117873</t>
  </si>
  <si>
    <t>2018/03/01</t>
  </si>
  <si>
    <t>471</t>
  </si>
  <si>
    <t>孩子的第一套STEAM繪遊書(09)好高好高的台灣杉【符合SDGs永續發展指標X好讀好玩雙書升級版】</t>
  </si>
  <si>
    <t>文／張容瑱；圖／朱勵雯</t>
  </si>
  <si>
    <t>9786267626085</t>
  </si>
  <si>
    <t>小木馬</t>
  </si>
  <si>
    <t>472</t>
  </si>
  <si>
    <t>客家文學研究：語言、族群、性別與歷史敘事</t>
  </si>
  <si>
    <t>黃菊芳</t>
  </si>
  <si>
    <t>9789865659547</t>
  </si>
  <si>
    <t>文學&gt;台灣客家</t>
  </si>
  <si>
    <t>473</t>
  </si>
  <si>
    <t>客家新釋</t>
  </si>
  <si>
    <t>葉國居</t>
  </si>
  <si>
    <t>9789863232223</t>
  </si>
  <si>
    <t>2017/08/07</t>
  </si>
  <si>
    <t>聯合文學</t>
  </si>
  <si>
    <t>474</t>
  </si>
  <si>
    <t>拼拼台灣!幼幼拼圖組-台灣水果</t>
  </si>
  <si>
    <t>小時報編輯部</t>
  </si>
  <si>
    <t>4711441071721</t>
  </si>
  <si>
    <t>2024/10/18</t>
  </si>
  <si>
    <t>3-6歲</t>
  </si>
  <si>
    <t>拼圖</t>
  </si>
  <si>
    <t>475</t>
  </si>
  <si>
    <t>拼拼台灣!幼幼拼圖組-台灣特有動物</t>
  </si>
  <si>
    <t>4711441071325</t>
  </si>
  <si>
    <t>2024/07/30</t>
  </si>
  <si>
    <t>教具</t>
  </si>
  <si>
    <t>476</t>
  </si>
  <si>
    <t>故鄉的太陽花:王明理詩集</t>
  </si>
  <si>
    <t>王明理</t>
  </si>
  <si>
    <t>9789862941058</t>
  </si>
  <si>
    <t>2015/03/30</t>
  </si>
  <si>
    <t>477</t>
  </si>
  <si>
    <t>星空【台文版】(首刷限量贈送「燦爛星空資料夾」)</t>
  </si>
  <si>
    <t>9786264330770</t>
  </si>
  <si>
    <t>478</t>
  </si>
  <si>
    <t>星空動物園(二版)</t>
  </si>
  <si>
    <t>山鷹</t>
  </si>
  <si>
    <t>9786267127681</t>
  </si>
  <si>
    <t>2022/11/01</t>
  </si>
  <si>
    <t>童書&gt;童詩.童謠.謎語&gt;台灣</t>
  </si>
  <si>
    <t>479</t>
  </si>
  <si>
    <t>春天佇佗位</t>
  </si>
  <si>
    <t>作者：黃靜雅音樂製作者：謝漢克臺文審訂：鄭順聰</t>
  </si>
  <si>
    <t>9789862942727</t>
  </si>
  <si>
    <t>2021/07/16</t>
  </si>
  <si>
    <t>童書/青少年文學&gt;圖畫書&gt;幻想/冒險</t>
  </si>
  <si>
    <t>480</t>
  </si>
  <si>
    <t>洪水神話：螃蟹與巨蛇(布農族民俗動物神話與傳說故事繪本01)</t>
  </si>
  <si>
    <t>9786263203716</t>
  </si>
  <si>
    <t>2023/03/06</t>
  </si>
  <si>
    <t>洪福田《十二生肖之歌》臺文繪本+十二生肖全套精美版畫卡片典藏盒裝【新版】</t>
  </si>
  <si>
    <t>洪福田</t>
  </si>
  <si>
    <t>8667106523295</t>
  </si>
  <si>
    <t>482</t>
  </si>
  <si>
    <t>看見</t>
  </si>
  <si>
    <t>李明足文; 鄭潔文圖</t>
  </si>
  <si>
    <t>9789862116104</t>
  </si>
  <si>
    <t>2016/04/15</t>
  </si>
  <si>
    <t>483</t>
  </si>
  <si>
    <t>科技造浪者：一部奇蹟般的台灣科技產業史，揭開全球都想知道的人脈網絡</t>
  </si>
  <si>
    <t>鄭芳芳</t>
  </si>
  <si>
    <t>9786269978465</t>
  </si>
  <si>
    <t>2025/10/27</t>
  </si>
  <si>
    <t>484</t>
  </si>
  <si>
    <t>突破極限的信念「陳傑憲」【感動紀念版】：從場內到場外，台灣隊長全力以赴的堅持與自白(附「勇不放棄明信片」一張)</t>
  </si>
  <si>
    <t>陳傑憲</t>
  </si>
  <si>
    <t>4711132385939</t>
  </si>
  <si>
    <t>2026/04/02</t>
  </si>
  <si>
    <t>485</t>
  </si>
  <si>
    <t>紅田嬰:台語傳統兒歌集</t>
  </si>
  <si>
    <t>莊永明賞析; 曹俊彥, 徐素霞, 張哲銘, 張振松, 江彬如繪圖</t>
  </si>
  <si>
    <t>9789861617800</t>
  </si>
  <si>
    <t>童書&gt;幼幼書</t>
  </si>
  <si>
    <t>486</t>
  </si>
  <si>
    <t>紅圓桌舊食光：辦桌王阿勇師攜手臺南5大總鋪師料理老臺菜</t>
  </si>
  <si>
    <t>王明煌、沈軒毅</t>
  </si>
  <si>
    <t>9789863714811</t>
  </si>
  <si>
    <t>2024/06/01</t>
  </si>
  <si>
    <t>飲食&gt;食譜&gt;宴客料理</t>
  </si>
  <si>
    <t>487</t>
  </si>
  <si>
    <t>紅龜粿(掃QR Code線上聽台語兒歌)</t>
  </si>
  <si>
    <t>9789861617411</t>
  </si>
  <si>
    <t>上誼文化</t>
  </si>
  <si>
    <t>童書/青少年文學&gt;0-3歲嬰幼兒&gt;其它寶寶書</t>
  </si>
  <si>
    <t>488</t>
  </si>
  <si>
    <t>美中開戰的終極指南【川普欽點·白宮核心貿易顧問解密】：45個台灣必須掌握的地緣政治關鍵問答，從川普思維的底層邏輯，看懂世紀強權之爭的未來布局</t>
  </si>
  <si>
    <t>彼得.納瓦羅</t>
  </si>
  <si>
    <t>9786267780275</t>
  </si>
  <si>
    <t>489</t>
  </si>
  <si>
    <t>美麗島詩歌:通行台語詩集</t>
  </si>
  <si>
    <t>李敏勇作</t>
  </si>
  <si>
    <t>9789862940266</t>
  </si>
  <si>
    <t>2012/04/01</t>
  </si>
  <si>
    <t>文學小說&gt; 詩&gt; 華文現代詩</t>
  </si>
  <si>
    <t>490</t>
  </si>
  <si>
    <t>若是咧送批【精裝紀念版】</t>
  </si>
  <si>
    <t>玉米宸</t>
  </si>
  <si>
    <t>9789862943830</t>
  </si>
  <si>
    <t>2025/06/10</t>
  </si>
  <si>
    <t>491</t>
  </si>
  <si>
    <t>革命,和尚,公民覺醒:台灣文化啟蒙先驅林秋梧傳記</t>
  </si>
  <si>
    <t>李筱峰</t>
  </si>
  <si>
    <t>9786269275656</t>
  </si>
  <si>
    <t>2026/01/21</t>
  </si>
  <si>
    <t>宗教命理&gt;佛教&gt;傳記</t>
  </si>
  <si>
    <t>492</t>
  </si>
  <si>
    <t>原來有這站:台灣秘境鐵道旅,探訪山城聚落、海岸風景、特色景點的火車深度漫遊提案【經典暢銷版】</t>
  </si>
  <si>
    <t>許傑</t>
  </si>
  <si>
    <t>9786267846032</t>
  </si>
  <si>
    <t>2026/01/22</t>
  </si>
  <si>
    <t>493</t>
  </si>
  <si>
    <t>原來貨櫃是這樣子啊!</t>
  </si>
  <si>
    <t>小魯文化編輯部</t>
  </si>
  <si>
    <t>9789865566784</t>
  </si>
  <si>
    <t>2021/08/01</t>
  </si>
  <si>
    <t>童書&gt;社會科學</t>
  </si>
  <si>
    <t>494</t>
  </si>
  <si>
    <t>夏日鷺鷥林(二版)</t>
  </si>
  <si>
    <t>9789865566869</t>
  </si>
  <si>
    <t>2021/09/01</t>
  </si>
  <si>
    <t>495</t>
  </si>
  <si>
    <t>島嶼ê時光織線</t>
  </si>
  <si>
    <t>謝爾庭</t>
  </si>
  <si>
    <t>9786269258482</t>
  </si>
  <si>
    <t>496</t>
  </si>
  <si>
    <t>島嶼來電：台灣水力發電時空旅讀</t>
  </si>
  <si>
    <t>陳歆怡</t>
  </si>
  <si>
    <t>9789865335595</t>
  </si>
  <si>
    <t>2026/04/20</t>
  </si>
  <si>
    <t>小野心文化</t>
  </si>
  <si>
    <t>童書&gt;應用科學&gt;台灣</t>
  </si>
  <si>
    <t>497</t>
  </si>
  <si>
    <t>島嶼裡的遠方:探索台灣中級山,尋找荒野裡的最後一片祕境</t>
  </si>
  <si>
    <t>崔祖錫</t>
  </si>
  <si>
    <t>9786267244531</t>
  </si>
  <si>
    <t>行路</t>
  </si>
  <si>
    <t>498</t>
  </si>
  <si>
    <t>書寫一部台灣美術史：一段爭議的政治進程</t>
  </si>
  <si>
    <t>蔡潔妮</t>
  </si>
  <si>
    <t>9786267430187</t>
  </si>
  <si>
    <t>2024/10/16</t>
  </si>
  <si>
    <t>典藏藝術家庭</t>
  </si>
  <si>
    <t>藝術設計&gt;台灣</t>
  </si>
  <si>
    <t>499</t>
  </si>
  <si>
    <t>柴山漫遊：高雄聖山柴山之旅</t>
  </si>
  <si>
    <t>沈政璋</t>
  </si>
  <si>
    <t>9786269800735</t>
  </si>
  <si>
    <t>2024/02/22</t>
  </si>
  <si>
    <t>500</t>
  </si>
  <si>
    <t>浪漫巡山員：從海拔0到3000公尺，熱血堅毅的台灣山林守護者</t>
  </si>
  <si>
    <t>阿步（浪漫巡山員）</t>
  </si>
  <si>
    <t>9789864064267</t>
  </si>
  <si>
    <t>2024/08/01</t>
  </si>
  <si>
    <t>自然科普&gt;森林&gt;台灣</t>
  </si>
  <si>
    <t>501</t>
  </si>
  <si>
    <t>海洋台灣新地標：發現太平洋抹香鯨</t>
  </si>
  <si>
    <t>9786267594292</t>
  </si>
  <si>
    <t>2025/01/21</t>
  </si>
  <si>
    <t>502</t>
  </si>
  <si>
    <t>海浪的記憶(新版)</t>
  </si>
  <si>
    <t>夏曼‧藍波安</t>
  </si>
  <si>
    <t>9789863237464</t>
  </si>
  <si>
    <t>2026/02/11</t>
  </si>
  <si>
    <t>503</t>
  </si>
  <si>
    <t>海鯤破浪：台灣潛艦發展史與國防自主之路</t>
  </si>
  <si>
    <t>李志德</t>
  </si>
  <si>
    <t>9786269304813</t>
  </si>
  <si>
    <t>2026/05/11</t>
  </si>
  <si>
    <t>社會科學&gt;軍事/軍武裝備&gt;武器</t>
  </si>
  <si>
    <t>504</t>
  </si>
  <si>
    <t>烏的(台文繪本，附朗讀音檔、台語羅馬字)</t>
  </si>
  <si>
    <t>9789570874952</t>
  </si>
  <si>
    <t>2024/10/24</t>
  </si>
  <si>
    <t>505</t>
  </si>
  <si>
    <t>眠床佇佗位</t>
  </si>
  <si>
    <t>陳照旗-文; 陳阿月-故事原創; 簡吟如-繪</t>
  </si>
  <si>
    <t>9789866433764</t>
  </si>
  <si>
    <t>2025/03/15</t>
  </si>
  <si>
    <t>506</t>
  </si>
  <si>
    <t>祖靈之光：太魯閣族葛督桑部落故事</t>
  </si>
  <si>
    <t>瑁瑁.瑪郡</t>
  </si>
  <si>
    <t>9786263207417</t>
  </si>
  <si>
    <t>2024/03/25</t>
  </si>
  <si>
    <t>507</t>
  </si>
  <si>
    <t>神奇照相館— 高雄人情商店.老照相館時代故事</t>
  </si>
  <si>
    <t>蘇福男、盧昱瑞、 謝榮祥、謝沛瑩、 蕭佑任、翁禎霞、 徐葆權、林芷琪、 余嘉榮、吳怡嫺、 吳憶萍、朱珮甄</t>
  </si>
  <si>
    <t>9786267832318</t>
  </si>
  <si>
    <t>2026/05/05</t>
  </si>
  <si>
    <t>藝術設計&gt;攝影&gt;台灣</t>
  </si>
  <si>
    <t>508</t>
  </si>
  <si>
    <t>神奇漢藥房：規年迵天照顧咱的健康（台文／華文雙語繪本，附台語朗讀音檔+「四季燖補篇」手繪別冊）</t>
  </si>
  <si>
    <t>陳芊榕</t>
  </si>
  <si>
    <t>9786267275474</t>
  </si>
  <si>
    <t>醫療保健</t>
  </si>
  <si>
    <t>509</t>
  </si>
  <si>
    <t>袂愛睏【台語寶寶繪本】烏魯魯佮烏嘛嘛(02)(附台語朗讀音檔、台語羅馬字)</t>
  </si>
  <si>
    <t>胡琇雅</t>
  </si>
  <si>
    <t>9786264441872</t>
  </si>
  <si>
    <t>2026/01/23</t>
  </si>
  <si>
    <t>510</t>
  </si>
  <si>
    <t>記得(繪本)</t>
  </si>
  <si>
    <t>9786269585113</t>
  </si>
  <si>
    <t>2022/04/25</t>
  </si>
  <si>
    <t>511</t>
  </si>
  <si>
    <t>記憶台灣(02)從國族政治、人文地景，見證成就台灣歷史的每一步</t>
  </si>
  <si>
    <t>胡川安</t>
  </si>
  <si>
    <t>9786263108721</t>
  </si>
  <si>
    <t>512</t>
  </si>
  <si>
    <t>記憶台灣1:從生活文化、教育信仰,看見台灣多元視角的每一幕</t>
  </si>
  <si>
    <t>9786263108394</t>
  </si>
  <si>
    <t>2025/03/29</t>
  </si>
  <si>
    <t>513</t>
  </si>
  <si>
    <t>記憶砌成的石階：翻越關門，布農丹社歸鄉路</t>
  </si>
  <si>
    <t>黃鈺翔(雪羊)著 </t>
  </si>
  <si>
    <t>9789864063697</t>
  </si>
  <si>
    <t>2023/07/26</t>
  </si>
  <si>
    <t>514</t>
  </si>
  <si>
    <t>除汙去漬！正確洗衣：台灣第一洗衣達人「真正乾淨」的清潔術，3分鐘去除髒汙，擺脫髒臭毒！【暢銷增訂版】</t>
  </si>
  <si>
    <t>沈富育</t>
  </si>
  <si>
    <t>9786267424377</t>
  </si>
  <si>
    <t>2024/10/31</t>
  </si>
  <si>
    <t>蘋果屋</t>
  </si>
  <si>
    <t>生活風格&gt;台灣</t>
  </si>
  <si>
    <t>515</t>
  </si>
  <si>
    <t>馬偕牧師：從加拿大到台灣斜槓人生的冒險與創新</t>
  </si>
  <si>
    <t>游常山、 胡芳芳</t>
  </si>
  <si>
    <t>9786269688821</t>
  </si>
  <si>
    <t>2025/01/14</t>
  </si>
  <si>
    <t>大好文化</t>
  </si>
  <si>
    <t>516</t>
  </si>
  <si>
    <t>馬雅各醫師：從蘇格蘭到台灣斜槓人生的冒險與創新</t>
  </si>
  <si>
    <t>游常山、胡芳芳</t>
  </si>
  <si>
    <t>9786269688838</t>
  </si>
  <si>
    <t>517</t>
  </si>
  <si>
    <t>馬路太無聊，我選擇跑酷：台灣第一本跑酷入門指南（動作示範全圖解＋45組真人影音示範QRcode）</t>
  </si>
  <si>
    <t>韓順全（螞蟻）</t>
  </si>
  <si>
    <t>9786267728031</t>
  </si>
  <si>
    <t>2025/06/09</t>
  </si>
  <si>
    <t>堡壘</t>
  </si>
  <si>
    <t>518</t>
  </si>
  <si>
    <t>高雄有顆藍寶石Showtime Taiwan： The Sapphire Show</t>
  </si>
  <si>
    <t>邱祖胤</t>
  </si>
  <si>
    <t>9786264185202</t>
  </si>
  <si>
    <t>2026/02/26</t>
  </si>
  <si>
    <t>519</t>
  </si>
  <si>
    <t>高雄故事【插畫書衣版】(01)</t>
  </si>
  <si>
    <t>明毓屏</t>
  </si>
  <si>
    <t>9786263842564</t>
  </si>
  <si>
    <t>2025/11/19</t>
  </si>
  <si>
    <t>520</t>
  </si>
  <si>
    <t>高雄故事【插畫書衣版】(02)</t>
  </si>
  <si>
    <t>9786263842632</t>
  </si>
  <si>
    <t>2025/12/24</t>
  </si>
  <si>
    <t>521</t>
  </si>
  <si>
    <t>高雄故事【插畫書衣版】(03)</t>
  </si>
  <si>
    <t>9786263842809</t>
  </si>
  <si>
    <t>522</t>
  </si>
  <si>
    <t>高雄故事【插畫書衣版】(04)(完)</t>
  </si>
  <si>
    <t>9786263842922</t>
  </si>
  <si>
    <t>523</t>
  </si>
  <si>
    <t>高雄裏風景：在地人才知道的深度漫遊！捷運沿線迷人風景、巷弄老店、藝術文創、人氣美食，最有意思的散步地圖全提案</t>
  </si>
  <si>
    <t>Aska</t>
  </si>
  <si>
    <t>9786267488461</t>
  </si>
  <si>
    <t>2024/11/19</t>
  </si>
  <si>
    <t>524</t>
  </si>
  <si>
    <t>高雄墾丁台南 玩盡台灣南部+澎湖!(2025-26激新版)</t>
  </si>
  <si>
    <t>魏俊陽</t>
  </si>
  <si>
    <t>9789887451679</t>
  </si>
  <si>
    <t>2025/03/12</t>
  </si>
  <si>
    <t>I Can Publishi</t>
  </si>
  <si>
    <t>525</t>
  </si>
  <si>
    <t>動物園 ( QR code )</t>
  </si>
  <si>
    <t>文 王昭華；布偶 陳昭儀；攝影 林茂榮</t>
  </si>
  <si>
    <t>9789862941225</t>
  </si>
  <si>
    <t>2016/01/01</t>
  </si>
  <si>
    <t>526</t>
  </si>
  <si>
    <t>婆娑之島【平路台灣三部曲．二】</t>
  </si>
  <si>
    <t>9786263145825</t>
  </si>
  <si>
    <t>527</t>
  </si>
  <si>
    <t>寄生之廟:台灣都市夾縫中的街廟觀察,適應社會變遷的常民空間圖鑑(精裝)(中英對照)(二版)</t>
  </si>
  <si>
    <t>賴伯威</t>
  </si>
  <si>
    <t>9789863849698</t>
  </si>
  <si>
    <t>2024/06/26</t>
  </si>
  <si>
    <t>528</t>
  </si>
  <si>
    <t>寄信到火星</t>
  </si>
  <si>
    <t>9786267043196</t>
  </si>
  <si>
    <t>529</t>
  </si>
  <si>
    <t>崔崔的山居小日子：養鵝記</t>
  </si>
  <si>
    <t>9789574907458</t>
  </si>
  <si>
    <t>530</t>
  </si>
  <si>
    <t>從台灣諺語看台灣歷史(2024年增訂版)</t>
  </si>
  <si>
    <t>戴寶村</t>
  </si>
  <si>
    <t>9789862943991</t>
  </si>
  <si>
    <t>531</t>
  </si>
  <si>
    <t>從前從前天很矮</t>
  </si>
  <si>
    <t>文:陳筠安 圖:姬淑賢</t>
  </si>
  <si>
    <t>9789862111970</t>
  </si>
  <si>
    <t>2010/12/04</t>
  </si>
  <si>
    <t>532</t>
  </si>
  <si>
    <t>從雲端走下來的家族-拉庫拉庫溪流域的遷移</t>
  </si>
  <si>
    <t>9786267207918</t>
  </si>
  <si>
    <t>533</t>
  </si>
  <si>
    <t>情批(台語詩繪本)</t>
  </si>
  <si>
    <t>阿尼默</t>
  </si>
  <si>
    <t>9789865549169</t>
  </si>
  <si>
    <t>2020/10/29</t>
  </si>
  <si>
    <t>534</t>
  </si>
  <si>
    <t>排灣族神話與傳說【新版】</t>
  </si>
  <si>
    <t>田哲益(達西烏拉彎．畢馬)</t>
  </si>
  <si>
    <t>9786263200272</t>
  </si>
  <si>
    <t>2021/12/06</t>
  </si>
  <si>
    <t>社會科學&gt;民族志</t>
  </si>
  <si>
    <t>535</t>
  </si>
  <si>
    <t>掛蠓罩的暗暝(精裝繪本)</t>
  </si>
  <si>
    <t>BALLBOSS</t>
  </si>
  <si>
    <t>9789864406050</t>
  </si>
  <si>
    <t>536</t>
  </si>
  <si>
    <t>敖早【台語寶寶繪本】烏魯魯佮烏嘛嘛1(附台語朗讀音檔、台語羅馬字)</t>
  </si>
  <si>
    <t>9786264441797</t>
  </si>
  <si>
    <t>537</t>
  </si>
  <si>
    <t>梅樹上的流星</t>
  </si>
  <si>
    <t>林佑儒</t>
  </si>
  <si>
    <t>9786267043387</t>
  </si>
  <si>
    <t>538</t>
  </si>
  <si>
    <t>深山內的小精靈【學習台語最佳入門書,台、華文雙語對照,CP值高】</t>
  </si>
  <si>
    <t>Elsa Beskow</t>
  </si>
  <si>
    <t>9789864275267</t>
  </si>
  <si>
    <t>539</t>
  </si>
  <si>
    <t>牽衫尾</t>
  </si>
  <si>
    <t>9789863236344</t>
  </si>
  <si>
    <t>2024/10/17</t>
  </si>
  <si>
    <t>文學&gt;散文&gt;台灣客家</t>
  </si>
  <si>
    <t>540</t>
  </si>
  <si>
    <t>第一次當哥哥 (三版)</t>
  </si>
  <si>
    <t>侯秋玲</t>
  </si>
  <si>
    <t>9789574905980</t>
  </si>
  <si>
    <t>541</t>
  </si>
  <si>
    <t>第一次過颱風夜 (二版)</t>
  </si>
  <si>
    <t>陳思婷</t>
  </si>
  <si>
    <t>9789574905881</t>
  </si>
  <si>
    <t>2022/08/01</t>
  </si>
  <si>
    <t>542</t>
  </si>
  <si>
    <t>第一次養小狗 (二版)</t>
  </si>
  <si>
    <t>9789574906147</t>
  </si>
  <si>
    <t>543</t>
  </si>
  <si>
    <t>第一次學台灣話,超簡單(附QR Code線上學習音檔)(增訂版)</t>
  </si>
  <si>
    <t>張瑪麗</t>
  </si>
  <si>
    <t>9786269745197</t>
  </si>
  <si>
    <t>2023/10/04</t>
  </si>
  <si>
    <t>哈福企業</t>
  </si>
  <si>
    <t>544</t>
  </si>
  <si>
    <t>第一次露營 (二版)</t>
  </si>
  <si>
    <t>9789574906444</t>
  </si>
  <si>
    <t>2023/06/01</t>
  </si>
  <si>
    <t>545</t>
  </si>
  <si>
    <t>第三進化--認知作戰下，台灣與全球的文明終局抉擇</t>
  </si>
  <si>
    <t>周百濤</t>
  </si>
  <si>
    <t>9786263744578</t>
  </si>
  <si>
    <t>2023/10/20</t>
  </si>
  <si>
    <t>546</t>
  </si>
  <si>
    <t>粘巴達假日學校：認養台灣的遊戲文化，復育台灣囝仔的快樂童年</t>
  </si>
  <si>
    <t>粘峻熊</t>
  </si>
  <si>
    <t>9786264192781</t>
  </si>
  <si>
    <t>547</t>
  </si>
  <si>
    <t>逐家愛寶貝【獻給孩子的台語童謠繪本】</t>
  </si>
  <si>
    <t>作者／黃靜雅；繪者／施佳伶</t>
  </si>
  <si>
    <t>9786267626245</t>
  </si>
  <si>
    <t>548</t>
  </si>
  <si>
    <t>逗陣來唱囡仔歌6-幼幼篇</t>
  </si>
  <si>
    <t>康原◎文賴如茵◎曲尤淑瑜◎繪者</t>
  </si>
  <si>
    <t>9789864439560</t>
  </si>
  <si>
    <t>2020/01/06</t>
  </si>
  <si>
    <t>549</t>
  </si>
  <si>
    <t>這首歌，唱給大海聽[精裝]</t>
  </si>
  <si>
    <t xml:space="preserve"> 廖炳焜, 呂鍾伶</t>
  </si>
  <si>
    <t>9786267344019</t>
  </si>
  <si>
    <t>2023/10/1</t>
  </si>
  <si>
    <t>專業/教科書/政府出版品&gt; 政府出版品&gt; 縣市采風&gt; 地方風情</t>
  </si>
  <si>
    <t>550</t>
  </si>
  <si>
    <t>野菜鹿鹿的慢活餐桌:30道好滋味 X 好朋友的療癒故事</t>
  </si>
  <si>
    <t>野菜鹿鹿</t>
  </si>
  <si>
    <t>9786269825172</t>
  </si>
  <si>
    <t>2024/06/04</t>
  </si>
  <si>
    <t>知田出版(福智文化)</t>
  </si>
  <si>
    <t>飲食&gt;蔬菜</t>
  </si>
  <si>
    <t>551</t>
  </si>
  <si>
    <t>傀儡山的動物傳奇</t>
  </si>
  <si>
    <t>張寶明, 鍾育紋文; 王佑琪圖</t>
  </si>
  <si>
    <t>9786267060766</t>
  </si>
  <si>
    <t>552</t>
  </si>
  <si>
    <t>單車迷魂記</t>
  </si>
  <si>
    <t>廖炳焜作; 廖若凡繪</t>
  </si>
  <si>
    <t>9789865566166</t>
  </si>
  <si>
    <t>2021/04/01</t>
  </si>
  <si>
    <t>553</t>
  </si>
  <si>
    <t>圍堵中國:全球抗中新秩序下的中國末路與台灣生存新戰略</t>
  </si>
  <si>
    <t>宋國誠</t>
  </si>
  <si>
    <t>9786267589724</t>
  </si>
  <si>
    <t>2026/01/27</t>
  </si>
  <si>
    <t>今周刊</t>
  </si>
  <si>
    <t>554</t>
  </si>
  <si>
    <t>尋熊記：我與台灣黑熊的故事(二版)</t>
  </si>
  <si>
    <t>黃美秀</t>
  </si>
  <si>
    <t>9786263617124</t>
  </si>
  <si>
    <t>2024/05/29</t>
  </si>
  <si>
    <t>555</t>
  </si>
  <si>
    <t>復返：21世紀成為原住民</t>
  </si>
  <si>
    <t>詹姆士・克里弗德</t>
  </si>
  <si>
    <t>9786267462195</t>
  </si>
  <si>
    <t>2024/07/29</t>
  </si>
  <si>
    <t>左岸文化</t>
  </si>
  <si>
    <t>556</t>
  </si>
  <si>
    <t>最喜歡的一碗麵</t>
  </si>
  <si>
    <t>鄭博真</t>
  </si>
  <si>
    <t>9786267237571</t>
  </si>
  <si>
    <t>557</t>
  </si>
  <si>
    <t>最熱烈的掌聲(二版)</t>
  </si>
  <si>
    <t>陳怡蓁</t>
  </si>
  <si>
    <t>9786267237403</t>
  </si>
  <si>
    <t>558</t>
  </si>
  <si>
    <t>港仔茶里吃爆台灣！：逮丸呷透透！全部都「好好味」呀～</t>
  </si>
  <si>
    <t>茶里</t>
  </si>
  <si>
    <t>9786264194020</t>
  </si>
  <si>
    <t>2025/05/09</t>
  </si>
  <si>
    <t>559</t>
  </si>
  <si>
    <t>湯德章：不該被遺忘的正義與勇氣</t>
  </si>
  <si>
    <t>門田隆將</t>
  </si>
  <si>
    <t>9789862941423</t>
  </si>
  <si>
    <t>2016/12/19</t>
  </si>
  <si>
    <t>560</t>
  </si>
  <si>
    <t>無公平！(獅子、大象和小老鼠陪你一起長大系列1 臺文/華文雙語生活品格教育繪本,附臺語朗讀音檔)</t>
  </si>
  <si>
    <t>9786267281697</t>
  </si>
  <si>
    <t>2024/03/31</t>
  </si>
  <si>
    <t>561</t>
  </si>
  <si>
    <t>無佮意！(不喜歡！獅子、大象和小老鼠陪你一起長大系列2 臺文/華文雙語生活品格教育繪本，附臺語朗讀音檔)</t>
  </si>
  <si>
    <t>9786267281772</t>
  </si>
  <si>
    <t>2024/05/04</t>
  </si>
  <si>
    <t>562</t>
  </si>
  <si>
    <t>無處安放的記憶：重溯／塑台灣人的二戰經驗</t>
  </si>
  <si>
    <t>藍適齊</t>
  </si>
  <si>
    <t>9786267811191</t>
  </si>
  <si>
    <t>563</t>
  </si>
  <si>
    <t>畫途中：臺灣第一位女畫家　陳進</t>
  </si>
  <si>
    <t>9789862944455</t>
  </si>
  <si>
    <t>2025/12/01</t>
  </si>
  <si>
    <t>564</t>
  </si>
  <si>
    <t>給台灣的情書</t>
  </si>
  <si>
    <t>張瀞仁JillChang</t>
  </si>
  <si>
    <t>9786263968448</t>
  </si>
  <si>
    <t>565</t>
  </si>
  <si>
    <t>跑步的初心：台灣馬拉松第一人 許績勝</t>
  </si>
  <si>
    <t>許績勝、詹鈞智</t>
  </si>
  <si>
    <t>9786264196482</t>
  </si>
  <si>
    <t>566</t>
  </si>
  <si>
    <t>傳播政治經濟學、台灣社會與兩岸關係</t>
  </si>
  <si>
    <t>馮建三</t>
  </si>
  <si>
    <t>9786263107816</t>
  </si>
  <si>
    <t>2025/01/09</t>
  </si>
  <si>
    <t>567</t>
  </si>
  <si>
    <t>園冶30：建築文化與台灣城市記憶</t>
  </si>
  <si>
    <t>高雄市建築經營協會 張世雅</t>
  </si>
  <si>
    <t>9786264192590</t>
  </si>
  <si>
    <t>2025/03/21</t>
  </si>
  <si>
    <t>568</t>
  </si>
  <si>
    <t>塔羅小祕牌的故事煉金術【台灣第一本小秘牌專書】：從構圖解鎖牌面隱藏的敘事，讀懂你的生活寓言</t>
  </si>
  <si>
    <t>王乙甯</t>
  </si>
  <si>
    <t>9786267623077</t>
  </si>
  <si>
    <t>地平線文化</t>
  </si>
  <si>
    <t>569</t>
  </si>
  <si>
    <t>奧運(客語版)</t>
  </si>
  <si>
    <t>9789570875010</t>
  </si>
  <si>
    <t>570</t>
  </si>
  <si>
    <t>媽祖婆婆的派對 :認識臺灣傳統慶典和神明</t>
  </si>
  <si>
    <t>9786263666580</t>
  </si>
  <si>
    <t>2023/12/28</t>
  </si>
  <si>
    <t>童書&gt;宗教命理&gt;台灣</t>
  </si>
  <si>
    <t>571</t>
  </si>
  <si>
    <t>媽祖帶路,幸福台灣:50座天后聖境巡禮,看古蹟、讀歷史、遊小鎮、吃透廟埕小吃</t>
  </si>
  <si>
    <t>朱尚懌</t>
  </si>
  <si>
    <t>9786264445320</t>
  </si>
  <si>
    <t>2026/05/12</t>
  </si>
  <si>
    <t>旅遊&gt;台灣&gt;台灣旅行</t>
  </si>
  <si>
    <t>572</t>
  </si>
  <si>
    <t>想不到大飯店</t>
  </si>
  <si>
    <t>9789865566081</t>
  </si>
  <si>
    <t>573</t>
  </si>
  <si>
    <t>愛,是我們共同的語言4:第四屆台灣房屋親情文學獎作品合集</t>
  </si>
  <si>
    <t>聯經編輯部 編</t>
  </si>
  <si>
    <t>9789570874532</t>
  </si>
  <si>
    <t>2024/08/09</t>
  </si>
  <si>
    <t>574</t>
  </si>
  <si>
    <t>愛蓋章的國王（三版）</t>
  </si>
  <si>
    <t>許書寧</t>
  </si>
  <si>
    <t>9786267350195</t>
  </si>
  <si>
    <t>575</t>
  </si>
  <si>
    <t>搞懂「發酵」看這一本就對了!</t>
  </si>
  <si>
    <t>齋藤勝裕</t>
  </si>
  <si>
    <t>9789865082932</t>
  </si>
  <si>
    <t>576</t>
  </si>
  <si>
    <t>新聞傳播、兩岸關係與美利堅：台灣觀點</t>
  </si>
  <si>
    <t>9789570873085</t>
  </si>
  <si>
    <t>2024/03/28</t>
  </si>
  <si>
    <t>577</t>
  </si>
  <si>
    <t>會說話的虎尾蘭：台灣第一個取得碩士學位的肯納自閉症者</t>
  </si>
  <si>
    <t>蔡松益</t>
  </si>
  <si>
    <t>9786263903029</t>
  </si>
  <si>
    <t>2024/12/10</t>
  </si>
  <si>
    <t>578</t>
  </si>
  <si>
    <t>歇睏的光(加贈「台語漢字佮台羅對照表＋華語譯文」摺頁小書)</t>
  </si>
  <si>
    <t>黃立佩</t>
  </si>
  <si>
    <t>9789570878042</t>
  </si>
  <si>
    <t>2025/11/13</t>
  </si>
  <si>
    <t>579</t>
  </si>
  <si>
    <t>煎一壺時代補帖：高雄30家中藥房裡的故事祕方</t>
  </si>
  <si>
    <t>蘇福男、林芷琪、朱珮甄、儲玉玲、江舟航、謝欣珈、林佩穎、曾愉芬、羅莎、謝沛瑩、楊路得、陶依玟、鍾舜文、李阿明、余嘉榮、盧昱瑞、林建志</t>
  </si>
  <si>
    <t>9786267171844</t>
  </si>
  <si>
    <t>2024/01/04</t>
  </si>
  <si>
    <t>裏路</t>
  </si>
  <si>
    <t>580</t>
  </si>
  <si>
    <t>爺爺奶奶的情人裝</t>
  </si>
  <si>
    <t>9786267043530</t>
  </si>
  <si>
    <t>581</t>
  </si>
  <si>
    <t>爺爺的玻璃店（二版）</t>
  </si>
  <si>
    <t>9789865513450</t>
  </si>
  <si>
    <t>582</t>
  </si>
  <si>
    <t>獅子變變變(「無厘頭之神」繪本大師、紫綬褒章得主-長新太經典代表作.台灣首度出版)</t>
  </si>
  <si>
    <t>長新太</t>
  </si>
  <si>
    <t>9786267525081</t>
  </si>
  <si>
    <t>童書&gt;繪本&gt;日本</t>
  </si>
  <si>
    <t>583</t>
  </si>
  <si>
    <t>腰瘦好吃(冬限定)台灣文化偵探曹銘宗，帶你吃遍當季好食！</t>
  </si>
  <si>
    <t>9789862627280</t>
  </si>
  <si>
    <t>584</t>
  </si>
  <si>
    <t>腰瘦好吃(春限定)台灣文化偵探曹銘宗，帶你吃遍當季好食！</t>
  </si>
  <si>
    <t>9789862627334</t>
  </si>
  <si>
    <t>585</t>
  </si>
  <si>
    <t>腰瘦好吃(秋限定)台灣文化偵探曹銘宗，帶你吃遍當季好食！</t>
  </si>
  <si>
    <t>9789862627112</t>
  </si>
  <si>
    <t>586</t>
  </si>
  <si>
    <t>腰瘦好吃(夏限定)台灣文化偵探曹銘宗，帶你吃遍當季好食！</t>
  </si>
  <si>
    <t>9789862626955</t>
  </si>
  <si>
    <t>2024/06/06</t>
  </si>
  <si>
    <t>587</t>
  </si>
  <si>
    <t>落西北雨的下晡：劉靜娟的台語時間</t>
  </si>
  <si>
    <t>劉靜娟</t>
  </si>
  <si>
    <t>9789862943700</t>
  </si>
  <si>
    <t>588</t>
  </si>
  <si>
    <t>跟著943搭台灣好行2：全台32條超值輕旅行路線</t>
  </si>
  <si>
    <t>943</t>
  </si>
  <si>
    <t>9786264195188</t>
  </si>
  <si>
    <t>2025/06/06</t>
  </si>
  <si>
    <t>589</t>
  </si>
  <si>
    <t>跟著媽祖去春遊</t>
  </si>
  <si>
    <t>9789574906239</t>
  </si>
  <si>
    <t>590</t>
  </si>
  <si>
    <t>農村廚房，旅行中</t>
  </si>
  <si>
    <t>陳志東, 許瓊文, 游喆, 游文宏</t>
  </si>
  <si>
    <t>9786269778195</t>
  </si>
  <si>
    <t>2024/03/14</t>
  </si>
  <si>
    <t>591</t>
  </si>
  <si>
    <t>圖解台灣史【更新版】</t>
  </si>
  <si>
    <t>9789861786957</t>
  </si>
  <si>
    <t>592</t>
  </si>
  <si>
    <t>圖解台灣史更新版</t>
  </si>
  <si>
    <t>廖宜方</t>
  </si>
  <si>
    <t>9789864801183</t>
  </si>
  <si>
    <t>2020/05/21</t>
  </si>
  <si>
    <t>易博士文化</t>
  </si>
  <si>
    <t>593</t>
  </si>
  <si>
    <t>圖解台灣寺廟建築與裝飾語彙</t>
  </si>
  <si>
    <t>謝宗榮</t>
  </si>
  <si>
    <t>9786263209022</t>
  </si>
  <si>
    <t>2024/09/23</t>
  </si>
  <si>
    <t>594</t>
  </si>
  <si>
    <t>圖解台灣懷舊柑仔店【新版】</t>
  </si>
  <si>
    <t>張信昌</t>
  </si>
  <si>
    <t>9786263207820</t>
  </si>
  <si>
    <t>595</t>
  </si>
  <si>
    <t>圖解就愛吃水果(暢銷新裝版):挑選、保存、切洗方略,享受台灣四季水果盛宴不求人</t>
  </si>
  <si>
    <t>童嘉</t>
  </si>
  <si>
    <t>9786267254530</t>
  </si>
  <si>
    <t>596</t>
  </si>
  <si>
    <t>夢魂之地【平路台灣三部曲．三】</t>
  </si>
  <si>
    <t>9786263145832</t>
  </si>
  <si>
    <t>文學小說&gt;華文創作&gt;小說</t>
  </si>
  <si>
    <t>597</t>
  </si>
  <si>
    <t>慢慢與我</t>
  </si>
  <si>
    <t>葉曼玲-著；葉曼玲-繪</t>
  </si>
  <si>
    <t>9786263700901</t>
  </si>
  <si>
    <t>2023/09/05</t>
  </si>
  <si>
    <t>小山丘</t>
  </si>
  <si>
    <t>598</t>
  </si>
  <si>
    <t>漁港台灣：寫畫西部漁港之美</t>
  </si>
  <si>
    <t>陳玉珠、陳武鎮</t>
  </si>
  <si>
    <t>9789862943731</t>
  </si>
  <si>
    <t>2024/03/08</t>
  </si>
  <si>
    <t>599</t>
  </si>
  <si>
    <t>漫步裡的台灣美術：藝術偵探帶路，繪見名畫裡的時代風景</t>
  </si>
  <si>
    <t>藝術蝦</t>
  </si>
  <si>
    <t>9786264180863</t>
  </si>
  <si>
    <t>2025/01/17</t>
  </si>
  <si>
    <t>600</t>
  </si>
  <si>
    <t>漫畫.巴萊:台灣第一部霧社事件歷史漫畫 (二版)</t>
  </si>
  <si>
    <t>邱若龍</t>
  </si>
  <si>
    <t>9789573289821</t>
  </si>
  <si>
    <t>2021/09/29</t>
  </si>
  <si>
    <t>601</t>
  </si>
  <si>
    <t>粽子就是要吃阿公的北部粽和外公的南部粽(雙封面雙故事)【隨書附贈南北粽摺紙DIY＆國台雙語故事音檔】</t>
  </si>
  <si>
    <t>許智偉</t>
  </si>
  <si>
    <t>9789862747032</t>
  </si>
  <si>
    <t>2025/04/30</t>
  </si>
  <si>
    <t>602</t>
  </si>
  <si>
    <t>綠池白鵝(三版)</t>
  </si>
  <si>
    <t>9786267632666</t>
  </si>
  <si>
    <t>603</t>
  </si>
  <si>
    <t>綠色思維 自然美學：一筆懸命，台灣藝想設計師＆畫家柯鴻圖的美學之路</t>
  </si>
  <si>
    <t>柯鴻圖</t>
  </si>
  <si>
    <t>9786263748347</t>
  </si>
  <si>
    <t>2023/01/19</t>
  </si>
  <si>
    <t>604</t>
  </si>
  <si>
    <t>綴圓仔講臺語(01)阿媽的果子園</t>
  </si>
  <si>
    <t>9789862943137</t>
  </si>
  <si>
    <t>605</t>
  </si>
  <si>
    <t>緊來阮兜覕</t>
  </si>
  <si>
    <t>黃靜雅</t>
  </si>
  <si>
    <t>9789862944189</t>
  </si>
  <si>
    <t>2025/01/10</t>
  </si>
  <si>
    <t>606</t>
  </si>
  <si>
    <t>臺南遊(二版)</t>
  </si>
  <si>
    <t>9786267350980</t>
  </si>
  <si>
    <t>2024/05/01</t>
  </si>
  <si>
    <t>607</t>
  </si>
  <si>
    <t>臺南體：府城傳統工藝</t>
  </si>
  <si>
    <t>張耘書、謝奇峰、戴瑋志</t>
  </si>
  <si>
    <t>9786267719558</t>
  </si>
  <si>
    <t>2025/12/17</t>
  </si>
  <si>
    <t>608</t>
  </si>
  <si>
    <t>臺灣古道大冒險(01)陽明山水圳古道</t>
  </si>
  <si>
    <t>方秋雅</t>
  </si>
  <si>
    <t>9789579502344</t>
  </si>
  <si>
    <t>2019/04/15</t>
  </si>
  <si>
    <t>康軒文化(叢書)</t>
  </si>
  <si>
    <t>609</t>
  </si>
  <si>
    <t>臺灣台語俗諺鬼神紀事</t>
  </si>
  <si>
    <t>王崇憲</t>
  </si>
  <si>
    <t>9786263298071</t>
  </si>
  <si>
    <t>2023/05/15</t>
  </si>
  <si>
    <t>宗教命理&gt;台灣</t>
  </si>
  <si>
    <t>610</t>
  </si>
  <si>
    <t>臺灣台語認證我上強(01)伊索寓言</t>
  </si>
  <si>
    <t>9786264238427</t>
  </si>
  <si>
    <t>2025/09/28</t>
  </si>
  <si>
    <t>611</t>
  </si>
  <si>
    <t>臺灣台語認證我上強(02)台語四格圖學習新課綱素養:全面訓練【閱讀、書寫、聽力、口語】,配合A卷、B卷語言能力認證題型,也適合語文競賽臺灣台語情境演說!</t>
  </si>
  <si>
    <t>9786264422611</t>
  </si>
  <si>
    <t>2026/03/28</t>
  </si>
  <si>
    <t>612</t>
  </si>
  <si>
    <t>臺灣名人傳記漫畫：許世賢【台文版】</t>
  </si>
  <si>
    <t>蠢羊</t>
  </si>
  <si>
    <t>9786263969520</t>
  </si>
  <si>
    <t>漫畫&gt;台灣</t>
  </si>
  <si>
    <t>613</t>
  </si>
  <si>
    <t>臺灣的樣子(附故事動畫QR)</t>
  </si>
  <si>
    <t>楊采潔</t>
  </si>
  <si>
    <t>9786263651401</t>
  </si>
  <si>
    <t>2023/12/10</t>
  </si>
  <si>
    <t>翰林</t>
  </si>
  <si>
    <t>614</t>
  </si>
  <si>
    <t>臺灣原住民的神話與傳說(01)泰雅族、布農族、鄒族</t>
  </si>
  <si>
    <t>里慕依・阿紀</t>
  </si>
  <si>
    <t>9789860674835</t>
  </si>
  <si>
    <t>2021/10/14</t>
  </si>
  <si>
    <t>615</t>
  </si>
  <si>
    <t>臺灣原住民的神話與傳說(02)阿美族、卑南族、達悟族</t>
  </si>
  <si>
    <t>馬耀.基朗</t>
  </si>
  <si>
    <t>9789860674866</t>
  </si>
  <si>
    <t>2021/10/18</t>
  </si>
  <si>
    <t>616</t>
  </si>
  <si>
    <t>臺灣原住民的神話與傳說(03)魯凱族、排灣族、賽夏族、邵族</t>
  </si>
  <si>
    <t>奧威尼・卡露斯</t>
  </si>
  <si>
    <t>9789860674873</t>
  </si>
  <si>
    <t>617</t>
  </si>
  <si>
    <t>臺灣時光扭蛋機(01)消失的歷史建築</t>
  </si>
  <si>
    <t>林蔚昀/作；詹仕靜/繪</t>
  </si>
  <si>
    <t>9789862944271</t>
  </si>
  <si>
    <t>2025/08/05</t>
  </si>
  <si>
    <t>618</t>
  </si>
  <si>
    <t>臺灣高山小獵手套書【共三冊】</t>
  </si>
  <si>
    <t>馬筱鳳</t>
  </si>
  <si>
    <t>9786267502617</t>
  </si>
  <si>
    <t>2025/02/26</t>
  </si>
  <si>
    <t>619</t>
  </si>
  <si>
    <t>臺灣族群史解謎:揭開平埔、外省、客家、福佬的歷史謎團</t>
  </si>
  <si>
    <t>葉高華</t>
  </si>
  <si>
    <t>9786267478141</t>
  </si>
  <si>
    <t>2024/07/23</t>
  </si>
  <si>
    <t>春山出版</t>
  </si>
  <si>
    <t>620</t>
  </si>
  <si>
    <t>臺灣第一個王朝的故事《東寧狂想曲》+《府城廟宇背後的東寧史》：斯卡羅原作者陳耀昌臺灣大河小說回歸之作【共二冊】</t>
  </si>
  <si>
    <t>陳耀昌</t>
  </si>
  <si>
    <t>4719025013327</t>
  </si>
  <si>
    <t>2026/01/29</t>
  </si>
  <si>
    <t>621</t>
  </si>
  <si>
    <t>認同的威名：眾論原民身分</t>
  </si>
  <si>
    <t>陳叔倬、悠蘭‧多又 Yulan Toyuw、巴杜‧悠蘭 Batu Yulan</t>
  </si>
  <si>
    <t>9789862944325</t>
  </si>
  <si>
    <t>2025/06/16</t>
  </si>
  <si>
    <t>社會科學&gt;法律</t>
  </si>
  <si>
    <t>622</t>
  </si>
  <si>
    <t>說不盡的台灣味(上冊)風土滋養的印象台味</t>
  </si>
  <si>
    <t>9786264182959</t>
  </si>
  <si>
    <t>2025/07/30</t>
  </si>
  <si>
    <t>623</t>
  </si>
  <si>
    <t>說不盡的台灣味(下冊)多元兼容的流轉台味</t>
  </si>
  <si>
    <t>9786264182966</t>
  </si>
  <si>
    <t>624</t>
  </si>
  <si>
    <t>說不盡的台灣味套書(限量加贈「台味透光書卡」)【共二冊】</t>
  </si>
  <si>
    <t>4719025012917</t>
  </si>
  <si>
    <t>625</t>
  </si>
  <si>
    <t>說相聲，學語文(1書2CD)</t>
  </si>
  <si>
    <t>馬景賢, 葉怡均</t>
  </si>
  <si>
    <t>9789862117620</t>
  </si>
  <si>
    <t>2017/12/22</t>
  </si>
  <si>
    <t>童書/青少年文學&gt; 語言學習&gt; 中文&gt; 其它</t>
  </si>
  <si>
    <t>626</t>
  </si>
  <si>
    <t>遠山：牛鈴叮咚咚.馬鈴叮噹噹(二版)</t>
  </si>
  <si>
    <t>9786267467565</t>
  </si>
  <si>
    <t>627</t>
  </si>
  <si>
    <t>閩南海上帝國:閩南人與南海文明的興起</t>
  </si>
  <si>
    <t>湯錦台</t>
  </si>
  <si>
    <t>9786267498064</t>
  </si>
  <si>
    <t>2024/08/19</t>
  </si>
  <si>
    <t>閩南語字音字形好好學(6版)</t>
  </si>
  <si>
    <t>鄭安住</t>
  </si>
  <si>
    <t>9786264238175</t>
  </si>
  <si>
    <t>629</t>
  </si>
  <si>
    <t>閩南語字音字形好撇步(四版)</t>
  </si>
  <si>
    <t>9786263438415</t>
  </si>
  <si>
    <t>630</t>
  </si>
  <si>
    <t>閩南語拼音、朗讀好撇步</t>
  </si>
  <si>
    <t>9786263432451</t>
  </si>
  <si>
    <t>2022/09/28</t>
  </si>
  <si>
    <t>631</t>
  </si>
  <si>
    <t>劍獅出巡(中英雙語+線上朗讀)(二版)</t>
  </si>
  <si>
    <t>劉如桂</t>
  </si>
  <si>
    <t>9789861617305</t>
  </si>
  <si>
    <t>632</t>
  </si>
  <si>
    <t>劍獅祈福(中英雙語+線上朗讀)</t>
  </si>
  <si>
    <t>9789861617336</t>
  </si>
  <si>
    <t>童書&gt;繪本&gt;韓國</t>
  </si>
  <si>
    <t>633</t>
  </si>
  <si>
    <t>嘰哩咕嚕說台語(01)米奶轉學記【附台語唸謠QR Code線上音檔】</t>
  </si>
  <si>
    <t>9786267660126</t>
  </si>
  <si>
    <t>2025/04/02</t>
  </si>
  <si>
    <t>小光點 (尖端)</t>
  </si>
  <si>
    <t>634</t>
  </si>
  <si>
    <t>嘰哩咕嚕說台語(02)不一樣的夏天【附台語唸謠QR Code線上音檔】</t>
  </si>
  <si>
    <t>9786267660133</t>
  </si>
  <si>
    <t>2025/05/13</t>
  </si>
  <si>
    <t>635</t>
  </si>
  <si>
    <t>嘰哩咕嚕說台語(03)秋天的二三事【附台語唸謠QR Code線上音檔】</t>
  </si>
  <si>
    <t>9786267660324</t>
  </si>
  <si>
    <t>2025/06/20</t>
  </si>
  <si>
    <t>636</t>
  </si>
  <si>
    <t>嘰哩咕嚕說台語(04)米奶的週年誌【附台語唸謠QR Code線上音檔】</t>
  </si>
  <si>
    <t>9786267660485</t>
  </si>
  <si>
    <t>2025/10/16</t>
  </si>
  <si>
    <t>637</t>
  </si>
  <si>
    <t>暴風、葛藤、隼:牡丹社事件</t>
  </si>
  <si>
    <t>施百俊-編劇;張重金-漫畫</t>
  </si>
  <si>
    <t>9786263351486</t>
  </si>
  <si>
    <t>2022/04/13</t>
  </si>
  <si>
    <t>638</t>
  </si>
  <si>
    <t>樂遊台灣,綠色慢旅:步入山海農食的深度巡禮</t>
  </si>
  <si>
    <t>樂寫團隊</t>
  </si>
  <si>
    <t>9786267096970</t>
  </si>
  <si>
    <t>2024/08/23</t>
  </si>
  <si>
    <t>639</t>
  </si>
  <si>
    <t>熱天个時節(客語繪本，附朗讀音檔）</t>
  </si>
  <si>
    <t>9789570875034</t>
  </si>
  <si>
    <t>640</t>
  </si>
  <si>
    <t>熱天的時陣:嚕嚕的夏天(台文/中文雙語繪本,附台語朗讀音檔)</t>
  </si>
  <si>
    <t>9789570858600</t>
  </si>
  <si>
    <t>2021/07/08</t>
  </si>
  <si>
    <t>641</t>
  </si>
  <si>
    <t>熱血刺客：台灣血液病學拓荒與發展紀事</t>
  </si>
  <si>
    <t>中華民國血液病學會、林文珠</t>
  </si>
  <si>
    <t>9786267299555</t>
  </si>
  <si>
    <t>2024/05/31</t>
  </si>
  <si>
    <t>天下生活</t>
  </si>
  <si>
    <t>642</t>
  </si>
  <si>
    <t>誰來逛市場(附故事動畫QR)</t>
  </si>
  <si>
    <t>9786263655157</t>
  </si>
  <si>
    <t>童書&gt;商業理財</t>
  </si>
  <si>
    <t>643</t>
  </si>
  <si>
    <t>請到我的家鄉來（三版）</t>
  </si>
  <si>
    <t>林海音</t>
  </si>
  <si>
    <t>9789865513368</t>
  </si>
  <si>
    <t>644</t>
  </si>
  <si>
    <t>鬧著玩:用這樣的方式吃台灣全台最懂吃、最會玩的主持天團,帶你走進隱藏版的台灣!</t>
  </si>
  <si>
    <t>鬧著玩</t>
  </si>
  <si>
    <t>9786263982765</t>
  </si>
  <si>
    <t>645</t>
  </si>
  <si>
    <t>魯凱族神話與傳說【新版】</t>
  </si>
  <si>
    <t>9786263201972</t>
  </si>
  <si>
    <t>2022/07/01</t>
  </si>
  <si>
    <t>646</t>
  </si>
  <si>
    <t>戰後台灣史:一個新國家的向望</t>
  </si>
  <si>
    <t>蔡石山</t>
  </si>
  <si>
    <t>9786267811597</t>
  </si>
  <si>
    <t>2026/04/29</t>
  </si>
  <si>
    <t>647</t>
  </si>
  <si>
    <t>樹仔凡勢猶會記(台文繪本，茂嗄嗄版)</t>
  </si>
  <si>
    <t>9789570879025</t>
  </si>
  <si>
    <t>2026/01/08</t>
  </si>
  <si>
    <t>648</t>
  </si>
  <si>
    <t>樹可能記得(枝葉繁茂版)</t>
  </si>
  <si>
    <t>9789570879018</t>
  </si>
  <si>
    <t>649</t>
  </si>
  <si>
    <t>橘色的馬（二版）</t>
  </si>
  <si>
    <t>9786267043240</t>
  </si>
  <si>
    <t>2021/12/01</t>
  </si>
  <si>
    <t>650</t>
  </si>
  <si>
    <t>橙瓢蟲找新家</t>
  </si>
  <si>
    <t>李明足文; 劉貞秀圖</t>
  </si>
  <si>
    <t>9789574907045</t>
  </si>
  <si>
    <t>2024/09/15</t>
  </si>
  <si>
    <t>651</t>
  </si>
  <si>
    <t>機車阿姆（客語繪本，附朗讀音檔）</t>
  </si>
  <si>
    <t>9789570875027</t>
  </si>
  <si>
    <t>652</t>
  </si>
  <si>
    <t>機車媽媽</t>
  </si>
  <si>
    <t>9789570863895</t>
  </si>
  <si>
    <t>2022/07/07</t>
  </si>
  <si>
    <t>653</t>
  </si>
  <si>
    <t>獨立宣言To̍k-li̍p suan-giân(台文版)</t>
  </si>
  <si>
    <t>湯瑪斯.傑佛遜</t>
  </si>
  <si>
    <t>9786267811405</t>
  </si>
  <si>
    <t>654</t>
  </si>
  <si>
    <t>糖果樂園大冒險(二版)</t>
  </si>
  <si>
    <t>9789865566333</t>
  </si>
  <si>
    <t>655</t>
  </si>
  <si>
    <t>親愛的奶爸</t>
  </si>
  <si>
    <t>李明足</t>
  </si>
  <si>
    <t>9786267467701</t>
  </si>
  <si>
    <t>656</t>
  </si>
  <si>
    <t>髻鬃花</t>
  </si>
  <si>
    <t>9789863230755</t>
  </si>
  <si>
    <t>2014/05/10</t>
  </si>
  <si>
    <t>657</t>
  </si>
  <si>
    <t>壓力下的優雅：喚醒以人為本的台灣經濟</t>
  </si>
  <si>
    <t>洪財隆</t>
  </si>
  <si>
    <t>9786267645086</t>
  </si>
  <si>
    <t>2025/02/03</t>
  </si>
  <si>
    <t>社會科學&gt;經濟&gt;台灣</t>
  </si>
  <si>
    <t>658</t>
  </si>
  <si>
    <t>點仔膠 台語傳統兒歌集(QR Code線上聽台語兒歌)(新版)</t>
  </si>
  <si>
    <t>曹俊彥, 徐素霞, 劉伯樂, 張振松, 江彬如</t>
  </si>
  <si>
    <t>9789861617008</t>
  </si>
  <si>
    <t>659</t>
  </si>
  <si>
    <t>簡明臺灣圖史-從區域地理環境的角度看台灣史</t>
  </si>
  <si>
    <t>石文誠、陳怡宏、蔡承豪、蕭軒竹、謝仕淵</t>
  </si>
  <si>
    <t>9789866006258</t>
  </si>
  <si>
    <t>660</t>
  </si>
  <si>
    <t>翻轉!假期!(二版)</t>
  </si>
  <si>
    <t>9789865566302</t>
  </si>
  <si>
    <t>661</t>
  </si>
  <si>
    <t>轉折：台灣財經改革軼事</t>
  </si>
  <si>
    <t>陳聽安</t>
  </si>
  <si>
    <t>9786267494189</t>
  </si>
  <si>
    <t>2025/04/09</t>
  </si>
  <si>
    <t>允晨文化</t>
  </si>
  <si>
    <t>662</t>
  </si>
  <si>
    <t>雞卵糕仔雲</t>
  </si>
  <si>
    <t>潘家欣-作;詹波-繪;鄭順聰-審定</t>
  </si>
  <si>
    <t>9789862943540</t>
  </si>
  <si>
    <t>2023/06/27</t>
  </si>
  <si>
    <t>童書/青少年文學&gt;圖畫書&gt;親情/友誼</t>
  </si>
  <si>
    <t>663</t>
  </si>
  <si>
    <t>羅生門：芥川龍之介短篇小說選Ｉ（台語翻譯版）</t>
  </si>
  <si>
    <t>芥川龍之介</t>
  </si>
  <si>
    <t>9786263146907</t>
  </si>
  <si>
    <t>2024/06/03</t>
  </si>
  <si>
    <t>664</t>
  </si>
  <si>
    <t>鏡內底的囡仔</t>
  </si>
  <si>
    <t>幾米.繪∕向陽.文</t>
  </si>
  <si>
    <t>9789862131725</t>
  </si>
  <si>
    <t>2010/03/25</t>
  </si>
  <si>
    <t>665</t>
  </si>
  <si>
    <t>鐘聲喚醒的故事</t>
  </si>
  <si>
    <t>9789862112618</t>
  </si>
  <si>
    <t>666</t>
  </si>
  <si>
    <t>鰗鰡學校</t>
  </si>
  <si>
    <t>9786267060773</t>
  </si>
  <si>
    <t>667</t>
  </si>
  <si>
    <t>鹹香下飯客家菜：走進灶腳，運用常備醬味、醃漬物，端出經典「四炆四炒」、家常菜、湯水，食在客庄好滋味</t>
  </si>
  <si>
    <t>陳秉文</t>
  </si>
  <si>
    <t>9786267414248</t>
  </si>
  <si>
    <t>2024/04/17</t>
  </si>
  <si>
    <t>日日幸福</t>
  </si>
  <si>
    <t>668</t>
  </si>
  <si>
    <t>癩蝦蟆的故事(布農族民俗動物神話與傳說故事繪本06)</t>
  </si>
  <si>
    <t>9786264201155</t>
  </si>
  <si>
    <t>2025/07/23</t>
  </si>
  <si>
    <t>669</t>
  </si>
  <si>
    <t>蘭嶼、飛魚、巨人和故事（二版）</t>
  </si>
  <si>
    <t>9789869914949</t>
  </si>
  <si>
    <t>2021/01/10</t>
  </si>
  <si>
    <t>670</t>
  </si>
  <si>
    <t>躋身台灣上下流 : 外省人的營生圖</t>
  </si>
  <si>
    <t>楊聰榮/主編</t>
  </si>
  <si>
    <t>9786269810536</t>
  </si>
  <si>
    <t>2024/02/17</t>
  </si>
  <si>
    <t>671</t>
  </si>
  <si>
    <t>魔幻聖貝:拉阿魯哇族的貝神</t>
  </si>
  <si>
    <t>李友煌</t>
  </si>
  <si>
    <t>9786267171882</t>
  </si>
  <si>
    <t>2024/01/03</t>
  </si>
  <si>
    <t>672</t>
  </si>
  <si>
    <t>歡迎光臨花東小鎮:部落秘境╳海岸文化╳在地生活,深入山海慢時區的美好時光</t>
  </si>
  <si>
    <t>黑崎時代</t>
  </si>
  <si>
    <t>9786267336861</t>
  </si>
  <si>
    <t>2024/05/21</t>
  </si>
  <si>
    <t>673</t>
  </si>
  <si>
    <t>歡迎螢火蟲來我家（二版）</t>
  </si>
  <si>
    <t>陳月文</t>
  </si>
  <si>
    <t>9789862119594</t>
  </si>
  <si>
    <t>2019/11/01</t>
  </si>
  <si>
    <t>674</t>
  </si>
  <si>
    <t>聽Fofo講故事:臺灣原住民族文學風景(臺文繪本)</t>
  </si>
  <si>
    <t>連翊翔</t>
  </si>
  <si>
    <t>9789860576726</t>
  </si>
  <si>
    <t>2018/12/15</t>
  </si>
  <si>
    <t>675</t>
  </si>
  <si>
    <t>讀人，沒有那麼簡單</t>
  </si>
  <si>
    <t>李宜芳</t>
  </si>
  <si>
    <t>9786269839346</t>
  </si>
  <si>
    <t>渠成文化</t>
  </si>
  <si>
    <t>文學&gt;別集&gt;台灣</t>
  </si>
  <si>
    <t>676</t>
  </si>
  <si>
    <t>驚驚袂著等:劉靜娟的台語時間</t>
  </si>
  <si>
    <t>9789862941249</t>
  </si>
  <si>
    <t>2020/04/13</t>
  </si>
  <si>
    <t>677</t>
  </si>
  <si>
    <t>鑽鑿人生：從高雄囝仔成為甲骨文權威的成長記事</t>
  </si>
  <si>
    <t>許進雄</t>
  </si>
  <si>
    <t>9789570535655</t>
  </si>
  <si>
    <t>台灣商務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</si>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</sst>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);[Red]\(0\)"/>
    <numFmt numFmtId="177" formatCode="#,##0_);[Red]\(#,##0\)"/>
  </numFmts>
  <fonts count="2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細明體"/>
      <family val="3"/>
      <charset val="136"/>
    </font>
    <font>
      <u/>
      <sz val="11"/>
      <color theme="10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rgb="FF000000"/>
      <name val="新細明體"/>
      <family val="1"/>
      <charset val="136"/>
    </font>
    <font>
      <u/>
      <sz val="12"/>
      <color rgb="FF0563C1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0"/>
      <name val="Verdana"/>
      <family val="2"/>
    </font>
    <font>
      <sz val="10"/>
      <color rgb="FF000000"/>
      <name val="Times New Roman"/>
      <family val="1"/>
    </font>
    <font>
      <b/>
      <sz val="12"/>
      <color rgb="FF0070C0"/>
      <name val="微軟正黑體"/>
      <family val="2"/>
      <charset val="136"/>
    </font>
    <font>
      <u/>
      <sz val="12"/>
      <color theme="4"/>
      <name val="微軟正黑體"/>
      <family val="2"/>
      <charset val="136"/>
    </font>
    <font>
      <b/>
      <sz val="16"/>
      <color rgb="FF000000"/>
      <name val="標楷體"/>
      <family val="4"/>
      <charset val="136"/>
    </font>
    <font>
      <b/>
      <sz val="1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7">
    <xf numFmtId="0" fontId="0" fillId="0" borderId="0"/>
    <xf numFmtId="0" fontId="5" fillId="0" borderId="0"/>
    <xf numFmtId="0" fontId="4" fillId="0" borderId="0"/>
    <xf numFmtId="0" fontId="4" fillId="0" borderId="0"/>
    <xf numFmtId="0" fontId="2" fillId="0" borderId="0"/>
    <xf numFmtId="0" fontId="6" fillId="0" borderId="0">
      <alignment vertical="center"/>
    </xf>
    <xf numFmtId="0" fontId="1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6" fillId="0" borderId="0"/>
    <xf numFmtId="0" fontId="16" fillId="0" borderId="0"/>
    <xf numFmtId="0" fontId="7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/>
    <xf numFmtId="0" fontId="4" fillId="0" borderId="0"/>
    <xf numFmtId="43" fontId="1" fillId="0" borderId="0">
      <alignment vertical="center"/>
    </xf>
    <xf numFmtId="0" fontId="5" fillId="0" borderId="0"/>
    <xf numFmtId="0" fontId="4" fillId="0" borderId="0"/>
    <xf numFmtId="0" fontId="4" fillId="0" borderId="0"/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</cellStyleXfs>
  <cellXfs count="40"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top" wrapText="1"/>
    </xf>
    <xf numFmtId="0" fontId="13" fillId="0" borderId="1" xfId="2" applyFont="1" applyBorder="1" applyAlignment="1">
      <alignment horizontal="left" vertical="center"/>
    </xf>
    <xf numFmtId="0" fontId="14" fillId="0" borderId="0" xfId="0" applyFont="1" applyAlignment="1">
      <alignment horizontal="center" vertical="center" shrinkToFit="1"/>
    </xf>
    <xf numFmtId="49" fontId="13" fillId="0" borderId="1" xfId="2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shrinkToFit="1"/>
    </xf>
    <xf numFmtId="49" fontId="13" fillId="0" borderId="1" xfId="2" applyNumberFormat="1" applyFont="1" applyBorder="1" applyAlignment="1">
      <alignment horizontal="center" vertical="center" shrinkToFit="1"/>
    </xf>
    <xf numFmtId="1" fontId="13" fillId="0" borderId="1" xfId="2" applyNumberFormat="1" applyFont="1" applyBorder="1" applyAlignment="1">
      <alignment horizontal="center" vertical="center" shrinkToFit="1"/>
    </xf>
    <xf numFmtId="177" fontId="11" fillId="0" borderId="1" xfId="0" applyNumberFormat="1" applyFont="1" applyBorder="1" applyAlignment="1">
      <alignment horizontal="center" vertical="center" shrinkToFit="1"/>
    </xf>
    <xf numFmtId="0" fontId="18" fillId="0" borderId="1" xfId="1" applyFont="1" applyBorder="1" applyAlignment="1">
      <alignment horizontal="center" vertical="center" shrinkToFit="1"/>
    </xf>
    <xf numFmtId="0" fontId="13" fillId="0" borderId="1" xfId="2" applyFont="1" applyBorder="1" applyAlignment="1">
      <alignment horizontal="left" vertical="center" shrinkToFit="1"/>
    </xf>
    <xf numFmtId="1" fontId="13" fillId="0" borderId="1" xfId="2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49" fontId="12" fillId="2" borderId="1" xfId="0" applyNumberFormat="1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 wrapText="1" shrinkToFit="1"/>
    </xf>
    <xf numFmtId="0" fontId="13" fillId="0" borderId="1" xfId="2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 shrinkToFit="1"/>
    </xf>
    <xf numFmtId="0" fontId="1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 shrinkToFit="1"/>
    </xf>
    <xf numFmtId="49" fontId="12" fillId="3" borderId="1" xfId="0" applyNumberFormat="1" applyFont="1" applyFill="1" applyBorder="1" applyAlignment="1">
      <alignment horizontal="center" vertical="center" shrinkToFit="1"/>
    </xf>
    <xf numFmtId="176" fontId="12" fillId="3" borderId="1" xfId="0" applyNumberFormat="1" applyFont="1" applyFill="1" applyBorder="1" applyAlignment="1">
      <alignment horizontal="center" vertical="center" shrinkToFit="1"/>
    </xf>
    <xf numFmtId="177" fontId="12" fillId="3" borderId="1" xfId="0" applyNumberFormat="1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20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left" vertical="top" wrapText="1"/>
    </xf>
  </cellXfs>
  <cellStyles count="37">
    <cellStyle name="Normal" xfId="7" xr:uid="{00000000-0005-0000-0000-000007000000}"/>
    <cellStyle name="一般" xfId="0" builtinId="0"/>
    <cellStyle name="一般 10" xfId="15" xr:uid="{00000000-0005-0000-0000-00000F000000}"/>
    <cellStyle name="一般 12" xfId="21" xr:uid="{00000000-0005-0000-0000-000015000000}"/>
    <cellStyle name="一般 15" xfId="12" xr:uid="{00000000-0005-0000-0000-00000C000000}"/>
    <cellStyle name="一般 18" xfId="10" xr:uid="{00000000-0005-0000-0000-00000A000000}"/>
    <cellStyle name="一般 18 2" xfId="33" xr:uid="{00000000-0005-0000-0000-000021000000}"/>
    <cellStyle name="一般 2" xfId="6" xr:uid="{00000000-0005-0000-0000-000006000000}"/>
    <cellStyle name="一般 2 2" xfId="2" xr:uid="{00000000-0005-0000-0000-000002000000}"/>
    <cellStyle name="一般 2 2 2" xfId="5" xr:uid="{00000000-0005-0000-0000-000005000000}"/>
    <cellStyle name="一般 2 2 2 2" xfId="24" xr:uid="{00000000-0005-0000-0000-000018000000}"/>
    <cellStyle name="一般 2 2 2 2 2" xfId="25" xr:uid="{00000000-0005-0000-0000-000019000000}"/>
    <cellStyle name="一般 2 2 3" xfId="17" xr:uid="{00000000-0005-0000-0000-000011000000}"/>
    <cellStyle name="一般 2 2 4" xfId="20" xr:uid="{00000000-0005-0000-0000-000014000000}"/>
    <cellStyle name="一般 2 2 5" xfId="30" xr:uid="{00000000-0005-0000-0000-00001E000000}"/>
    <cellStyle name="一般 2 3" xfId="22" xr:uid="{00000000-0005-0000-0000-000016000000}"/>
    <cellStyle name="一般 2 4" xfId="19" xr:uid="{00000000-0005-0000-0000-000013000000}"/>
    <cellStyle name="一般 2 5" xfId="36" xr:uid="{00000000-0005-0000-0000-000024000000}"/>
    <cellStyle name="一般 3" xfId="4" xr:uid="{00000000-0005-0000-0000-000004000000}"/>
    <cellStyle name="一般 4" xfId="16" xr:uid="{00000000-0005-0000-0000-000010000000}"/>
    <cellStyle name="一般 4 2" xfId="27" xr:uid="{00000000-0005-0000-0000-00001B000000}"/>
    <cellStyle name="一般 4 3" xfId="35" xr:uid="{00000000-0005-0000-0000-000023000000}"/>
    <cellStyle name="一般 5" xfId="9" xr:uid="{00000000-0005-0000-0000-000009000000}"/>
    <cellStyle name="一般 5 2" xfId="18" xr:uid="{00000000-0005-0000-0000-000012000000}"/>
    <cellStyle name="一般 5 3" xfId="32" xr:uid="{00000000-0005-0000-0000-000020000000}"/>
    <cellStyle name="一般 6" xfId="14" xr:uid="{00000000-0005-0000-0000-00000E000000}"/>
    <cellStyle name="一般 7" xfId="13" xr:uid="{00000000-0005-0000-0000-00000D000000}"/>
    <cellStyle name="一般 7 2" xfId="26" xr:uid="{00000000-0005-0000-0000-00001A000000}"/>
    <cellStyle name="一般 7 3" xfId="34" xr:uid="{00000000-0005-0000-0000-000022000000}"/>
    <cellStyle name="一般 8" xfId="3" xr:uid="{00000000-0005-0000-0000-000003000000}"/>
    <cellStyle name="一般 8 2" xfId="23" xr:uid="{00000000-0005-0000-0000-000017000000}"/>
    <cellStyle name="一般 8 3" xfId="31" xr:uid="{00000000-0005-0000-0000-00001F000000}"/>
    <cellStyle name="一般 9" xfId="8" xr:uid="{00000000-0005-0000-0000-000008000000}"/>
    <cellStyle name="千分位 2" xfId="28" xr:uid="{00000000-0005-0000-0000-00001C000000}"/>
    <cellStyle name="超連結" xfId="1" builtinId="8"/>
    <cellStyle name="超連結 2" xfId="29" xr:uid="{00000000-0005-0000-0000-00001D000000}"/>
    <cellStyle name="超連結 3" xfId="11" xr:uid="{00000000-0005-0000-0000-00000B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697"/>
  <sheetViews>
    <sheetView showGridLines="0" tabSelected="1" zoomScale="70" zoomScaleNormal="70" workbookViewId="0">
      <pane ySplit="1" topLeftCell="A2" activePane="bottomLeft" state="frozen"/>
      <selection pane="bottomLeft" activeCell="C10" sqref="C10"/>
    </sheetView>
  </sheetViews>
  <sheetFormatPr defaultColWidth="9" defaultRowHeight="29.4" customHeight="1"/>
  <cols>
    <col min="1" max="1" width="25.625" style="3" customWidth="1"/>
    <col min="2" max="2" width="7.625" style="4" customWidth="1"/>
    <col min="3" max="3" width="63.75" style="3" customWidth="1"/>
    <col min="4" max="4" width="12.125" style="5" customWidth="1"/>
    <col min="5" max="5" width="12.875" style="4" customWidth="1"/>
    <col min="6" max="6" width="11.375" style="19" customWidth="1"/>
    <col min="7" max="8" width="12.625" style="6" customWidth="1"/>
    <col min="9" max="10" width="12.625" style="7" customWidth="1"/>
    <col min="11" max="11" width="12.75" style="4" customWidth="1"/>
    <col min="12" max="12" width="19.125" style="10" customWidth="1"/>
    <col min="13" max="13" width="10.125" style="20" hidden="1" customWidth="1"/>
    <col min="14" max="14" width="17.375" style="4" customWidth="1"/>
    <col min="15" max="15" width="14.375" style="4" hidden="1" customWidth="1"/>
    <col min="16" max="16" width="15.125" style="4" customWidth="1"/>
    <col min="17" max="17" width="31" style="8" customWidth="1"/>
    <col min="18" max="18" width="9" style="3" customWidth="1"/>
    <col min="19" max="16384" width="9" style="3"/>
  </cols>
  <sheetData>
    <row r="1" spans="1:17" s="1" customFormat="1" ht="24.9" customHeight="1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5"/>
      <c r="N1" s="23" t="s">
        <v>12</v>
      </c>
      <c r="O1" s="23" t="s">
        <v>13</v>
      </c>
      <c r="P1" s="23" t="s">
        <v>14</v>
      </c>
      <c r="Q1" s="26" t="s">
        <v>15</v>
      </c>
    </row>
    <row r="2" spans="1:17" ht="24.9" customHeight="1">
      <c r="A2" s="2" t="s">
        <v>16</v>
      </c>
      <c r="B2" s="11" t="s">
        <v>17</v>
      </c>
      <c r="C2" s="9" t="s">
        <v>18</v>
      </c>
      <c r="D2" s="9" t="s">
        <v>19</v>
      </c>
      <c r="E2" s="13" t="s">
        <v>20</v>
      </c>
      <c r="F2" s="13" t="s">
        <v>21</v>
      </c>
      <c r="G2" s="18">
        <v>700</v>
      </c>
      <c r="H2" s="14">
        <f t="shared" ref="H2:H65" si="0">ROUND(G2*75%,0)</f>
        <v>525</v>
      </c>
      <c r="I2" s="18"/>
      <c r="J2" s="15">
        <f t="shared" ref="J2:J65" si="1">H2*I2</f>
        <v>0</v>
      </c>
      <c r="K2" s="27" t="s">
        <v>22</v>
      </c>
      <c r="L2" s="16" t="str">
        <f t="shared" ref="L2:L65" si="2">HYPERLINK(M2,E2)</f>
        <v>9789576785337</v>
      </c>
      <c r="M2" s="28" t="str">
        <f t="shared" ref="M2:M65" si="3">"https://search.books.com.tw/search/query/key/"&amp;E2</f>
        <v>https://search.books.com.tw/search/query/key/9789576785337</v>
      </c>
      <c r="N2" s="12" t="s">
        <v>23</v>
      </c>
      <c r="O2" s="12" t="s">
        <v>24</v>
      </c>
      <c r="P2" s="27" t="s">
        <v>25</v>
      </c>
      <c r="Q2" s="17" t="s">
        <v>26</v>
      </c>
    </row>
    <row r="3" spans="1:17" ht="24.9" customHeight="1">
      <c r="A3" s="2" t="s">
        <v>16</v>
      </c>
      <c r="B3" s="11" t="s">
        <v>27</v>
      </c>
      <c r="C3" s="9" t="s">
        <v>28</v>
      </c>
      <c r="D3" s="9" t="s">
        <v>29</v>
      </c>
      <c r="E3" s="13" t="s">
        <v>30</v>
      </c>
      <c r="F3" s="13" t="s">
        <v>31</v>
      </c>
      <c r="G3" s="18">
        <v>350</v>
      </c>
      <c r="H3" s="14">
        <f t="shared" si="0"/>
        <v>263</v>
      </c>
      <c r="I3" s="18"/>
      <c r="J3" s="15">
        <f t="shared" si="1"/>
        <v>0</v>
      </c>
      <c r="K3" s="27" t="s">
        <v>32</v>
      </c>
      <c r="L3" s="16" t="str">
        <f t="shared" si="2"/>
        <v>9789573264729</v>
      </c>
      <c r="M3" s="28" t="str">
        <f t="shared" si="3"/>
        <v>https://search.books.com.tw/search/query/key/9789573264729</v>
      </c>
      <c r="N3" s="12" t="s">
        <v>33</v>
      </c>
      <c r="O3" s="12" t="s">
        <v>34</v>
      </c>
      <c r="P3" s="27" t="s">
        <v>35</v>
      </c>
      <c r="Q3" s="17" t="s">
        <v>36</v>
      </c>
    </row>
    <row r="4" spans="1:17" ht="24.9" customHeight="1">
      <c r="A4" s="2" t="s">
        <v>16</v>
      </c>
      <c r="B4" s="11" t="s">
        <v>37</v>
      </c>
      <c r="C4" s="9" t="s">
        <v>38</v>
      </c>
      <c r="D4" s="9" t="s">
        <v>39</v>
      </c>
      <c r="E4" s="13" t="s">
        <v>40</v>
      </c>
      <c r="F4" s="13" t="s">
        <v>41</v>
      </c>
      <c r="G4" s="18">
        <v>250</v>
      </c>
      <c r="H4" s="14">
        <f t="shared" si="0"/>
        <v>188</v>
      </c>
      <c r="I4" s="18"/>
      <c r="J4" s="15">
        <f t="shared" si="1"/>
        <v>0</v>
      </c>
      <c r="K4" s="27" t="s">
        <v>42</v>
      </c>
      <c r="L4" s="16" t="str">
        <f t="shared" si="2"/>
        <v>9789570845099</v>
      </c>
      <c r="M4" s="28" t="str">
        <f t="shared" si="3"/>
        <v>https://search.books.com.tw/search/query/key/9789570845099</v>
      </c>
      <c r="N4" s="12" t="s">
        <v>43</v>
      </c>
      <c r="O4" s="12" t="s">
        <v>44</v>
      </c>
      <c r="P4" s="27" t="s">
        <v>45</v>
      </c>
      <c r="Q4" s="17" t="s">
        <v>46</v>
      </c>
    </row>
    <row r="5" spans="1:17" ht="24.9" customHeight="1">
      <c r="A5" s="2" t="s">
        <v>16</v>
      </c>
      <c r="B5" s="11" t="s">
        <v>47</v>
      </c>
      <c r="C5" s="9" t="s">
        <v>48</v>
      </c>
      <c r="D5" s="9" t="s">
        <v>39</v>
      </c>
      <c r="E5" s="13" t="s">
        <v>49</v>
      </c>
      <c r="F5" s="13" t="s">
        <v>50</v>
      </c>
      <c r="G5" s="18">
        <v>280</v>
      </c>
      <c r="H5" s="14">
        <f t="shared" si="0"/>
        <v>210</v>
      </c>
      <c r="I5" s="18"/>
      <c r="J5" s="15">
        <f t="shared" si="1"/>
        <v>0</v>
      </c>
      <c r="K5" s="27" t="s">
        <v>42</v>
      </c>
      <c r="L5" s="16" t="str">
        <f t="shared" si="2"/>
        <v>9789570854909</v>
      </c>
      <c r="M5" s="28" t="str">
        <f t="shared" si="3"/>
        <v>https://search.books.com.tw/search/query/key/9789570854909</v>
      </c>
      <c r="N5" s="12" t="s">
        <v>43</v>
      </c>
      <c r="O5" s="12" t="s">
        <v>51</v>
      </c>
      <c r="P5" s="27" t="s">
        <v>45</v>
      </c>
      <c r="Q5" s="17" t="s">
        <v>52</v>
      </c>
    </row>
    <row r="6" spans="1:17" ht="24.9" customHeight="1">
      <c r="A6" s="2" t="s">
        <v>16</v>
      </c>
      <c r="B6" s="11" t="s">
        <v>53</v>
      </c>
      <c r="C6" s="9" t="s">
        <v>54</v>
      </c>
      <c r="D6" s="9" t="s">
        <v>55</v>
      </c>
      <c r="E6" s="13" t="s">
        <v>56</v>
      </c>
      <c r="F6" s="13" t="s">
        <v>57</v>
      </c>
      <c r="G6" s="18">
        <v>420</v>
      </c>
      <c r="H6" s="14">
        <f t="shared" si="0"/>
        <v>315</v>
      </c>
      <c r="I6" s="18"/>
      <c r="J6" s="15">
        <f t="shared" si="1"/>
        <v>0</v>
      </c>
      <c r="K6" s="27" t="s">
        <v>42</v>
      </c>
      <c r="L6" s="16" t="str">
        <f t="shared" si="2"/>
        <v>9789570848311</v>
      </c>
      <c r="M6" s="28" t="str">
        <f t="shared" si="3"/>
        <v>https://search.books.com.tw/search/query/key/9789570848311</v>
      </c>
      <c r="N6" s="12" t="s">
        <v>43</v>
      </c>
      <c r="O6" s="12" t="s">
        <v>44</v>
      </c>
      <c r="P6" s="27" t="s">
        <v>45</v>
      </c>
      <c r="Q6" s="17" t="s">
        <v>46</v>
      </c>
    </row>
    <row r="7" spans="1:17" ht="24.9" customHeight="1">
      <c r="A7" s="2" t="s">
        <v>16</v>
      </c>
      <c r="B7" s="11" t="s">
        <v>58</v>
      </c>
      <c r="C7" s="9" t="s">
        <v>59</v>
      </c>
      <c r="D7" s="9" t="s">
        <v>60</v>
      </c>
      <c r="E7" s="13" t="s">
        <v>61</v>
      </c>
      <c r="F7" s="13" t="s">
        <v>62</v>
      </c>
      <c r="G7" s="18">
        <v>320</v>
      </c>
      <c r="H7" s="14">
        <f t="shared" si="0"/>
        <v>240</v>
      </c>
      <c r="I7" s="18"/>
      <c r="J7" s="15">
        <f t="shared" si="1"/>
        <v>0</v>
      </c>
      <c r="K7" s="27" t="s">
        <v>63</v>
      </c>
      <c r="L7" s="16" t="str">
        <f t="shared" si="2"/>
        <v>9789869532235</v>
      </c>
      <c r="M7" s="28" t="str">
        <f t="shared" si="3"/>
        <v>https://search.books.com.tw/search/query/key/9789869532235</v>
      </c>
      <c r="N7" s="12" t="s">
        <v>33</v>
      </c>
      <c r="O7" s="12" t="s">
        <v>64</v>
      </c>
      <c r="P7" s="27" t="s">
        <v>35</v>
      </c>
      <c r="Q7" s="17" t="s">
        <v>65</v>
      </c>
    </row>
    <row r="8" spans="1:17" ht="24.9" customHeight="1">
      <c r="A8" s="2" t="s">
        <v>16</v>
      </c>
      <c r="B8" s="11" t="s">
        <v>66</v>
      </c>
      <c r="C8" s="9" t="s">
        <v>67</v>
      </c>
      <c r="D8" s="9" t="s">
        <v>68</v>
      </c>
      <c r="E8" s="13" t="s">
        <v>69</v>
      </c>
      <c r="F8" s="13" t="s">
        <v>70</v>
      </c>
      <c r="G8" s="18">
        <v>250</v>
      </c>
      <c r="H8" s="14">
        <f t="shared" si="0"/>
        <v>188</v>
      </c>
      <c r="I8" s="18"/>
      <c r="J8" s="15">
        <f t="shared" si="1"/>
        <v>0</v>
      </c>
      <c r="K8" s="27" t="s">
        <v>71</v>
      </c>
      <c r="L8" s="16" t="str">
        <f t="shared" si="2"/>
        <v>9789860488296</v>
      </c>
      <c r="M8" s="28" t="str">
        <f t="shared" si="3"/>
        <v>https://search.books.com.tw/search/query/key/9789860488296</v>
      </c>
      <c r="N8" s="12" t="s">
        <v>33</v>
      </c>
      <c r="O8" s="12" t="s">
        <v>72</v>
      </c>
      <c r="P8" s="27" t="s">
        <v>73</v>
      </c>
      <c r="Q8" s="17" t="s">
        <v>74</v>
      </c>
    </row>
    <row r="9" spans="1:17" ht="24.9" customHeight="1">
      <c r="A9" s="2" t="s">
        <v>16</v>
      </c>
      <c r="B9" s="11" t="s">
        <v>75</v>
      </c>
      <c r="C9" s="9" t="s">
        <v>76</v>
      </c>
      <c r="D9" s="9" t="s">
        <v>77</v>
      </c>
      <c r="E9" s="13" t="s">
        <v>78</v>
      </c>
      <c r="F9" s="13" t="s">
        <v>79</v>
      </c>
      <c r="G9" s="18">
        <v>450</v>
      </c>
      <c r="H9" s="14">
        <f t="shared" si="0"/>
        <v>338</v>
      </c>
      <c r="I9" s="18"/>
      <c r="J9" s="15">
        <f t="shared" si="1"/>
        <v>0</v>
      </c>
      <c r="K9" s="27" t="s">
        <v>80</v>
      </c>
      <c r="L9" s="16" t="str">
        <f t="shared" si="2"/>
        <v>9789862940273</v>
      </c>
      <c r="M9" s="28" t="str">
        <f t="shared" si="3"/>
        <v>https://search.books.com.tw/search/query/key/9789862940273</v>
      </c>
      <c r="N9" s="12" t="s">
        <v>43</v>
      </c>
      <c r="O9" s="12" t="s">
        <v>81</v>
      </c>
      <c r="P9" s="27" t="s">
        <v>35</v>
      </c>
      <c r="Q9" s="17" t="s">
        <v>36</v>
      </c>
    </row>
    <row r="10" spans="1:17" ht="24.9" customHeight="1">
      <c r="A10" s="2" t="s">
        <v>16</v>
      </c>
      <c r="B10" s="11" t="s">
        <v>82</v>
      </c>
      <c r="C10" s="9" t="s">
        <v>83</v>
      </c>
      <c r="D10" s="9" t="s">
        <v>84</v>
      </c>
      <c r="E10" s="13" t="s">
        <v>85</v>
      </c>
      <c r="F10" s="13" t="s">
        <v>86</v>
      </c>
      <c r="G10" s="18">
        <v>320</v>
      </c>
      <c r="H10" s="14">
        <f t="shared" si="0"/>
        <v>240</v>
      </c>
      <c r="I10" s="18"/>
      <c r="J10" s="15">
        <f t="shared" si="1"/>
        <v>0</v>
      </c>
      <c r="K10" s="27" t="s">
        <v>42</v>
      </c>
      <c r="L10" s="16" t="str">
        <f t="shared" si="2"/>
        <v>9789570848168</v>
      </c>
      <c r="M10" s="28" t="str">
        <f t="shared" si="3"/>
        <v>https://search.books.com.tw/search/query/key/9789570848168</v>
      </c>
      <c r="N10" s="12" t="s">
        <v>43</v>
      </c>
      <c r="O10" s="12" t="s">
        <v>87</v>
      </c>
      <c r="P10" s="27" t="s">
        <v>45</v>
      </c>
      <c r="Q10" s="17" t="s">
        <v>46</v>
      </c>
    </row>
    <row r="11" spans="1:17" ht="24.9" customHeight="1">
      <c r="A11" s="2" t="s">
        <v>16</v>
      </c>
      <c r="B11" s="11" t="s">
        <v>88</v>
      </c>
      <c r="C11" s="9" t="s">
        <v>89</v>
      </c>
      <c r="D11" s="9" t="s">
        <v>90</v>
      </c>
      <c r="E11" s="13" t="s">
        <v>91</v>
      </c>
      <c r="F11" s="13" t="s">
        <v>92</v>
      </c>
      <c r="G11" s="18">
        <v>200</v>
      </c>
      <c r="H11" s="14">
        <f t="shared" si="0"/>
        <v>150</v>
      </c>
      <c r="I11" s="18"/>
      <c r="J11" s="15">
        <f t="shared" si="1"/>
        <v>0</v>
      </c>
      <c r="K11" s="27" t="s">
        <v>93</v>
      </c>
      <c r="L11" s="16" t="str">
        <f t="shared" si="2"/>
        <v>9789865789626</v>
      </c>
      <c r="M11" s="28" t="str">
        <f t="shared" si="3"/>
        <v>https://search.books.com.tw/search/query/key/9789865789626</v>
      </c>
      <c r="N11" s="12" t="s">
        <v>33</v>
      </c>
      <c r="O11" s="12" t="s">
        <v>94</v>
      </c>
      <c r="P11" s="27" t="s">
        <v>35</v>
      </c>
      <c r="Q11" s="17" t="s">
        <v>36</v>
      </c>
    </row>
    <row r="12" spans="1:17" ht="24.9" customHeight="1">
      <c r="A12" s="2" t="s">
        <v>16</v>
      </c>
      <c r="B12" s="11" t="s">
        <v>95</v>
      </c>
      <c r="C12" s="9" t="s">
        <v>96</v>
      </c>
      <c r="D12" s="9" t="s">
        <v>97</v>
      </c>
      <c r="E12" s="13" t="s">
        <v>98</v>
      </c>
      <c r="F12" s="13" t="s">
        <v>99</v>
      </c>
      <c r="G12" s="18">
        <v>300</v>
      </c>
      <c r="H12" s="14">
        <f t="shared" si="0"/>
        <v>225</v>
      </c>
      <c r="I12" s="18"/>
      <c r="J12" s="15">
        <f t="shared" si="1"/>
        <v>0</v>
      </c>
      <c r="K12" s="27" t="s">
        <v>100</v>
      </c>
      <c r="L12" s="16" t="str">
        <f t="shared" si="2"/>
        <v>9789861782621</v>
      </c>
      <c r="M12" s="28" t="str">
        <f t="shared" si="3"/>
        <v>https://search.books.com.tw/search/query/key/9789861782621</v>
      </c>
      <c r="N12" s="12" t="s">
        <v>33</v>
      </c>
      <c r="O12" s="12" t="s">
        <v>101</v>
      </c>
      <c r="P12" s="27" t="s">
        <v>35</v>
      </c>
      <c r="Q12" s="17" t="s">
        <v>36</v>
      </c>
    </row>
    <row r="13" spans="1:17" ht="24.9" customHeight="1">
      <c r="A13" s="2" t="s">
        <v>16</v>
      </c>
      <c r="B13" s="11" t="s">
        <v>102</v>
      </c>
      <c r="C13" s="9" t="s">
        <v>103</v>
      </c>
      <c r="D13" s="9" t="s">
        <v>104</v>
      </c>
      <c r="E13" s="13" t="s">
        <v>105</v>
      </c>
      <c r="F13" s="13" t="s">
        <v>106</v>
      </c>
      <c r="G13" s="18">
        <v>420</v>
      </c>
      <c r="H13" s="14">
        <f t="shared" si="0"/>
        <v>315</v>
      </c>
      <c r="I13" s="18"/>
      <c r="J13" s="15">
        <f t="shared" si="1"/>
        <v>0</v>
      </c>
      <c r="K13" s="27" t="s">
        <v>63</v>
      </c>
      <c r="L13" s="16" t="str">
        <f t="shared" si="2"/>
        <v>9789866731648</v>
      </c>
      <c r="M13" s="28" t="str">
        <f t="shared" si="3"/>
        <v>https://search.books.com.tw/search/query/key/9789866731648</v>
      </c>
      <c r="N13" s="12" t="s">
        <v>33</v>
      </c>
      <c r="O13" s="12" t="s">
        <v>107</v>
      </c>
      <c r="P13" s="27" t="s">
        <v>35</v>
      </c>
      <c r="Q13" s="17" t="s">
        <v>36</v>
      </c>
    </row>
    <row r="14" spans="1:17" ht="24.9" customHeight="1">
      <c r="A14" s="2" t="s">
        <v>16</v>
      </c>
      <c r="B14" s="11" t="s">
        <v>108</v>
      </c>
      <c r="C14" s="9" t="s">
        <v>109</v>
      </c>
      <c r="D14" s="9" t="s">
        <v>110</v>
      </c>
      <c r="E14" s="13" t="s">
        <v>111</v>
      </c>
      <c r="F14" s="13" t="s">
        <v>112</v>
      </c>
      <c r="G14" s="18">
        <v>399</v>
      </c>
      <c r="H14" s="14">
        <f t="shared" si="0"/>
        <v>299</v>
      </c>
      <c r="I14" s="18"/>
      <c r="J14" s="15">
        <f t="shared" si="1"/>
        <v>0</v>
      </c>
      <c r="K14" s="27" t="s">
        <v>63</v>
      </c>
      <c r="L14" s="16" t="str">
        <f t="shared" si="2"/>
        <v>9789578630406</v>
      </c>
      <c r="M14" s="28" t="str">
        <f t="shared" si="3"/>
        <v>https://search.books.com.tw/search/query/key/9789578630406</v>
      </c>
      <c r="N14" s="12" t="s">
        <v>33</v>
      </c>
      <c r="O14" s="12" t="s">
        <v>113</v>
      </c>
      <c r="P14" s="27" t="s">
        <v>35</v>
      </c>
      <c r="Q14" s="17" t="s">
        <v>36</v>
      </c>
    </row>
    <row r="15" spans="1:17" ht="24.9" customHeight="1">
      <c r="A15" s="2" t="s">
        <v>16</v>
      </c>
      <c r="B15" s="11" t="s">
        <v>114</v>
      </c>
      <c r="C15" s="9" t="s">
        <v>115</v>
      </c>
      <c r="D15" s="9" t="s">
        <v>116</v>
      </c>
      <c r="E15" s="13" t="s">
        <v>117</v>
      </c>
      <c r="F15" s="13" t="s">
        <v>118</v>
      </c>
      <c r="G15" s="18">
        <v>320</v>
      </c>
      <c r="H15" s="14">
        <f t="shared" si="0"/>
        <v>240</v>
      </c>
      <c r="I15" s="18"/>
      <c r="J15" s="15">
        <f t="shared" si="1"/>
        <v>0</v>
      </c>
      <c r="K15" s="27" t="s">
        <v>119</v>
      </c>
      <c r="L15" s="16" t="str">
        <f t="shared" si="2"/>
        <v>9789864401406</v>
      </c>
      <c r="M15" s="28" t="str">
        <f t="shared" si="3"/>
        <v>https://search.books.com.tw/search/query/key/9789864401406</v>
      </c>
      <c r="N15" s="12" t="s">
        <v>43</v>
      </c>
      <c r="O15" s="12" t="s">
        <v>44</v>
      </c>
      <c r="P15" s="27" t="s">
        <v>45</v>
      </c>
      <c r="Q15" s="17" t="s">
        <v>46</v>
      </c>
    </row>
    <row r="16" spans="1:17" ht="24.9" customHeight="1">
      <c r="A16" s="2" t="s">
        <v>16</v>
      </c>
      <c r="B16" s="11" t="s">
        <v>120</v>
      </c>
      <c r="C16" s="9" t="s">
        <v>121</v>
      </c>
      <c r="D16" s="9" t="s">
        <v>122</v>
      </c>
      <c r="E16" s="13" t="s">
        <v>123</v>
      </c>
      <c r="F16" s="13" t="s">
        <v>124</v>
      </c>
      <c r="G16" s="18">
        <v>260</v>
      </c>
      <c r="H16" s="14">
        <f t="shared" si="0"/>
        <v>195</v>
      </c>
      <c r="I16" s="18"/>
      <c r="J16" s="15">
        <f t="shared" si="1"/>
        <v>0</v>
      </c>
      <c r="K16" s="27" t="s">
        <v>125</v>
      </c>
      <c r="L16" s="16" t="str">
        <f t="shared" si="2"/>
        <v>9789574449453</v>
      </c>
      <c r="M16" s="28" t="str">
        <f t="shared" si="3"/>
        <v>https://search.books.com.tw/search/query/key/9789574449453</v>
      </c>
      <c r="N16" s="12" t="s">
        <v>43</v>
      </c>
      <c r="O16" s="12" t="s">
        <v>126</v>
      </c>
      <c r="P16" s="27" t="s">
        <v>45</v>
      </c>
      <c r="Q16" s="17" t="s">
        <v>52</v>
      </c>
    </row>
    <row r="17" spans="1:17" ht="24.9" customHeight="1">
      <c r="A17" s="2" t="s">
        <v>16</v>
      </c>
      <c r="B17" s="11" t="s">
        <v>127</v>
      </c>
      <c r="C17" s="9" t="s">
        <v>128</v>
      </c>
      <c r="D17" s="9" t="s">
        <v>129</v>
      </c>
      <c r="E17" s="13" t="s">
        <v>130</v>
      </c>
      <c r="F17" s="13" t="s">
        <v>131</v>
      </c>
      <c r="G17" s="18">
        <v>350</v>
      </c>
      <c r="H17" s="14">
        <f t="shared" si="0"/>
        <v>263</v>
      </c>
      <c r="I17" s="18"/>
      <c r="J17" s="15">
        <f t="shared" si="1"/>
        <v>0</v>
      </c>
      <c r="K17" s="27" t="s">
        <v>132</v>
      </c>
      <c r="L17" s="16" t="str">
        <f t="shared" si="2"/>
        <v>9789576967146</v>
      </c>
      <c r="M17" s="28" t="str">
        <f t="shared" si="3"/>
        <v>https://search.books.com.tw/search/query/key/9789576967146</v>
      </c>
      <c r="N17" s="12" t="s">
        <v>33</v>
      </c>
      <c r="O17" s="12" t="s">
        <v>34</v>
      </c>
      <c r="P17" s="27" t="s">
        <v>35</v>
      </c>
      <c r="Q17" s="17" t="s">
        <v>36</v>
      </c>
    </row>
    <row r="18" spans="1:17" ht="24.9" customHeight="1">
      <c r="A18" s="2" t="s">
        <v>16</v>
      </c>
      <c r="B18" s="11" t="s">
        <v>133</v>
      </c>
      <c r="C18" s="9" t="s">
        <v>134</v>
      </c>
      <c r="D18" s="9" t="s">
        <v>135</v>
      </c>
      <c r="E18" s="13" t="s">
        <v>136</v>
      </c>
      <c r="F18" s="13" t="s">
        <v>137</v>
      </c>
      <c r="G18" s="18">
        <v>380</v>
      </c>
      <c r="H18" s="14">
        <f t="shared" si="0"/>
        <v>285</v>
      </c>
      <c r="I18" s="18"/>
      <c r="J18" s="15">
        <f t="shared" si="1"/>
        <v>0</v>
      </c>
      <c r="K18" s="27" t="s">
        <v>135</v>
      </c>
      <c r="L18" s="16" t="str">
        <f t="shared" si="2"/>
        <v>9789866191879</v>
      </c>
      <c r="M18" s="28" t="str">
        <f t="shared" si="3"/>
        <v>https://search.books.com.tw/search/query/key/9789866191879</v>
      </c>
      <c r="N18" s="12" t="s">
        <v>23</v>
      </c>
      <c r="O18" s="12" t="s">
        <v>138</v>
      </c>
      <c r="P18" s="27" t="s">
        <v>25</v>
      </c>
      <c r="Q18" s="17" t="s">
        <v>139</v>
      </c>
    </row>
    <row r="19" spans="1:17" ht="24.9" customHeight="1">
      <c r="A19" s="2" t="s">
        <v>16</v>
      </c>
      <c r="B19" s="11" t="s">
        <v>140</v>
      </c>
      <c r="C19" s="9" t="s">
        <v>141</v>
      </c>
      <c r="D19" s="9" t="s">
        <v>142</v>
      </c>
      <c r="E19" s="13" t="s">
        <v>143</v>
      </c>
      <c r="F19" s="13" t="s">
        <v>144</v>
      </c>
      <c r="G19" s="18">
        <v>320</v>
      </c>
      <c r="H19" s="14">
        <f t="shared" si="0"/>
        <v>240</v>
      </c>
      <c r="I19" s="18"/>
      <c r="J19" s="15">
        <f t="shared" si="1"/>
        <v>0</v>
      </c>
      <c r="K19" s="27" t="s">
        <v>42</v>
      </c>
      <c r="L19" s="16" t="str">
        <f t="shared" si="2"/>
        <v>9789570845112</v>
      </c>
      <c r="M19" s="28" t="str">
        <f t="shared" si="3"/>
        <v>https://search.books.com.tw/search/query/key/9789570845112</v>
      </c>
      <c r="N19" s="12" t="s">
        <v>43</v>
      </c>
      <c r="O19" s="12" t="s">
        <v>44</v>
      </c>
      <c r="P19" s="27" t="s">
        <v>45</v>
      </c>
      <c r="Q19" s="17" t="s">
        <v>46</v>
      </c>
    </row>
    <row r="20" spans="1:17" ht="24.9" customHeight="1">
      <c r="A20" s="2" t="s">
        <v>16</v>
      </c>
      <c r="B20" s="11" t="s">
        <v>145</v>
      </c>
      <c r="C20" s="9" t="s">
        <v>146</v>
      </c>
      <c r="D20" s="9" t="s">
        <v>147</v>
      </c>
      <c r="E20" s="13" t="s">
        <v>148</v>
      </c>
      <c r="F20" s="13" t="s">
        <v>149</v>
      </c>
      <c r="G20" s="18">
        <v>570</v>
      </c>
      <c r="H20" s="14">
        <f t="shared" si="0"/>
        <v>428</v>
      </c>
      <c r="I20" s="18"/>
      <c r="J20" s="15">
        <f t="shared" si="1"/>
        <v>0</v>
      </c>
      <c r="K20" s="27" t="s">
        <v>150</v>
      </c>
      <c r="L20" s="16" t="str">
        <f t="shared" si="2"/>
        <v>9789862622766</v>
      </c>
      <c r="M20" s="28" t="str">
        <f t="shared" si="3"/>
        <v>https://search.books.com.tw/search/query/key/9789862622766</v>
      </c>
      <c r="N20" s="12" t="s">
        <v>33</v>
      </c>
      <c r="O20" s="12" t="s">
        <v>151</v>
      </c>
      <c r="P20" s="27" t="s">
        <v>35</v>
      </c>
      <c r="Q20" s="17" t="s">
        <v>36</v>
      </c>
    </row>
    <row r="21" spans="1:17" ht="24.9" customHeight="1">
      <c r="A21" s="2" t="s">
        <v>16</v>
      </c>
      <c r="B21" s="11" t="s">
        <v>152</v>
      </c>
      <c r="C21" s="9" t="s">
        <v>153</v>
      </c>
      <c r="D21" s="9" t="s">
        <v>154</v>
      </c>
      <c r="E21" s="13" t="s">
        <v>155</v>
      </c>
      <c r="F21" s="13" t="s">
        <v>156</v>
      </c>
      <c r="G21" s="18">
        <v>380</v>
      </c>
      <c r="H21" s="14">
        <f t="shared" si="0"/>
        <v>285</v>
      </c>
      <c r="I21" s="18"/>
      <c r="J21" s="15">
        <f t="shared" si="1"/>
        <v>0</v>
      </c>
      <c r="K21" s="27" t="s">
        <v>157</v>
      </c>
      <c r="L21" s="16" t="str">
        <f t="shared" si="2"/>
        <v>9786263438774</v>
      </c>
      <c r="M21" s="28" t="str">
        <f t="shared" si="3"/>
        <v>https://search.books.com.tw/search/query/key/9786263438774</v>
      </c>
      <c r="N21" s="12" t="s">
        <v>33</v>
      </c>
      <c r="O21" s="12" t="s">
        <v>158</v>
      </c>
      <c r="P21" s="27" t="s">
        <v>25</v>
      </c>
      <c r="Q21" s="17" t="s">
        <v>159</v>
      </c>
    </row>
    <row r="22" spans="1:17" ht="24.9" customHeight="1">
      <c r="A22" s="2" t="s">
        <v>16</v>
      </c>
      <c r="B22" s="11" t="s">
        <v>160</v>
      </c>
      <c r="C22" s="9" t="s">
        <v>161</v>
      </c>
      <c r="D22" s="9" t="s">
        <v>162</v>
      </c>
      <c r="E22" s="13" t="s">
        <v>163</v>
      </c>
      <c r="F22" s="13" t="s">
        <v>164</v>
      </c>
      <c r="G22" s="18">
        <v>350</v>
      </c>
      <c r="H22" s="14">
        <f t="shared" si="0"/>
        <v>263</v>
      </c>
      <c r="I22" s="18"/>
      <c r="J22" s="15">
        <f t="shared" si="1"/>
        <v>0</v>
      </c>
      <c r="K22" s="27" t="s">
        <v>165</v>
      </c>
      <c r="L22" s="16" t="str">
        <f t="shared" si="2"/>
        <v>9789861615387</v>
      </c>
      <c r="M22" s="28" t="str">
        <f t="shared" si="3"/>
        <v>https://search.books.com.tw/search/query/key/9789861615387</v>
      </c>
      <c r="N22" s="12" t="s">
        <v>43</v>
      </c>
      <c r="O22" s="12" t="s">
        <v>44</v>
      </c>
      <c r="P22" s="27" t="s">
        <v>45</v>
      </c>
      <c r="Q22" s="17" t="s">
        <v>46</v>
      </c>
    </row>
    <row r="23" spans="1:17" ht="24.9" customHeight="1">
      <c r="A23" s="2" t="s">
        <v>16</v>
      </c>
      <c r="B23" s="11" t="s">
        <v>166</v>
      </c>
      <c r="C23" s="9" t="s">
        <v>167</v>
      </c>
      <c r="D23" s="9" t="s">
        <v>168</v>
      </c>
      <c r="E23" s="13" t="s">
        <v>169</v>
      </c>
      <c r="F23" s="13" t="s">
        <v>170</v>
      </c>
      <c r="G23" s="18">
        <v>999</v>
      </c>
      <c r="H23" s="14">
        <f t="shared" si="0"/>
        <v>749</v>
      </c>
      <c r="I23" s="18"/>
      <c r="J23" s="15">
        <f t="shared" si="1"/>
        <v>0</v>
      </c>
      <c r="K23" s="27" t="s">
        <v>171</v>
      </c>
      <c r="L23" s="16" t="str">
        <f t="shared" si="2"/>
        <v>9789868361898</v>
      </c>
      <c r="M23" s="28" t="str">
        <f t="shared" si="3"/>
        <v>https://search.books.com.tw/search/query/key/9789868361898</v>
      </c>
      <c r="N23" s="12" t="s">
        <v>33</v>
      </c>
      <c r="O23" s="12" t="s">
        <v>172</v>
      </c>
      <c r="P23" s="27" t="s">
        <v>35</v>
      </c>
      <c r="Q23" s="17" t="s">
        <v>36</v>
      </c>
    </row>
    <row r="24" spans="1:17" ht="24.9" customHeight="1">
      <c r="A24" s="2" t="s">
        <v>16</v>
      </c>
      <c r="B24" s="11" t="s">
        <v>173</v>
      </c>
      <c r="C24" s="9" t="s">
        <v>174</v>
      </c>
      <c r="D24" s="9" t="s">
        <v>175</v>
      </c>
      <c r="E24" s="13" t="s">
        <v>176</v>
      </c>
      <c r="F24" s="13" t="s">
        <v>99</v>
      </c>
      <c r="G24" s="18">
        <v>320</v>
      </c>
      <c r="H24" s="14">
        <f t="shared" si="0"/>
        <v>240</v>
      </c>
      <c r="I24" s="18"/>
      <c r="J24" s="15">
        <f t="shared" si="1"/>
        <v>0</v>
      </c>
      <c r="K24" s="27" t="s">
        <v>80</v>
      </c>
      <c r="L24" s="16" t="str">
        <f t="shared" si="2"/>
        <v>9789862940457</v>
      </c>
      <c r="M24" s="28" t="str">
        <f t="shared" si="3"/>
        <v>https://search.books.com.tw/search/query/key/9789862940457</v>
      </c>
      <c r="N24" s="12" t="s">
        <v>33</v>
      </c>
      <c r="O24" s="12" t="s">
        <v>177</v>
      </c>
      <c r="P24" s="27" t="s">
        <v>35</v>
      </c>
      <c r="Q24" s="17" t="s">
        <v>36</v>
      </c>
    </row>
    <row r="25" spans="1:17" ht="24.9" customHeight="1">
      <c r="A25" s="2" t="s">
        <v>16</v>
      </c>
      <c r="B25" s="11" t="s">
        <v>178</v>
      </c>
      <c r="C25" s="9" t="s">
        <v>179</v>
      </c>
      <c r="D25" s="9" t="s">
        <v>180</v>
      </c>
      <c r="E25" s="13" t="s">
        <v>181</v>
      </c>
      <c r="F25" s="13" t="s">
        <v>182</v>
      </c>
      <c r="G25" s="18">
        <v>230</v>
      </c>
      <c r="H25" s="14">
        <f t="shared" si="0"/>
        <v>173</v>
      </c>
      <c r="I25" s="18"/>
      <c r="J25" s="15">
        <f t="shared" si="1"/>
        <v>0</v>
      </c>
      <c r="K25" s="27" t="s">
        <v>183</v>
      </c>
      <c r="L25" s="16" t="str">
        <f t="shared" si="2"/>
        <v>9789865641757</v>
      </c>
      <c r="M25" s="28" t="str">
        <f t="shared" si="3"/>
        <v>https://search.books.com.tw/search/query/key/9789865641757</v>
      </c>
      <c r="N25" s="12" t="s">
        <v>43</v>
      </c>
      <c r="O25" s="12" t="s">
        <v>44</v>
      </c>
      <c r="P25" s="27" t="s">
        <v>45</v>
      </c>
      <c r="Q25" s="17" t="s">
        <v>46</v>
      </c>
    </row>
    <row r="26" spans="1:17" ht="24.9" customHeight="1">
      <c r="A26" s="2" t="s">
        <v>16</v>
      </c>
      <c r="B26" s="11" t="s">
        <v>184</v>
      </c>
      <c r="C26" s="9" t="s">
        <v>185</v>
      </c>
      <c r="D26" s="9" t="s">
        <v>186</v>
      </c>
      <c r="E26" s="13" t="s">
        <v>187</v>
      </c>
      <c r="F26" s="13" t="s">
        <v>188</v>
      </c>
      <c r="G26" s="18">
        <v>300</v>
      </c>
      <c r="H26" s="14">
        <f t="shared" si="0"/>
        <v>225</v>
      </c>
      <c r="I26" s="18"/>
      <c r="J26" s="15">
        <f t="shared" si="1"/>
        <v>0</v>
      </c>
      <c r="K26" s="27" t="s">
        <v>189</v>
      </c>
      <c r="L26" s="16" t="str">
        <f t="shared" si="2"/>
        <v>9789865842451</v>
      </c>
      <c r="M26" s="28" t="str">
        <f t="shared" si="3"/>
        <v>https://search.books.com.tw/search/query/key/9789865842451</v>
      </c>
      <c r="N26" s="12" t="s">
        <v>33</v>
      </c>
      <c r="O26" s="12" t="s">
        <v>190</v>
      </c>
      <c r="P26" s="27" t="s">
        <v>191</v>
      </c>
      <c r="Q26" s="17" t="s">
        <v>36</v>
      </c>
    </row>
    <row r="27" spans="1:17" ht="24.9" customHeight="1">
      <c r="A27" s="2" t="s">
        <v>16</v>
      </c>
      <c r="B27" s="11" t="s">
        <v>192</v>
      </c>
      <c r="C27" s="9" t="s">
        <v>193</v>
      </c>
      <c r="D27" s="9" t="s">
        <v>194</v>
      </c>
      <c r="E27" s="13" t="s">
        <v>195</v>
      </c>
      <c r="F27" s="13" t="s">
        <v>196</v>
      </c>
      <c r="G27" s="18">
        <v>650</v>
      </c>
      <c r="H27" s="14">
        <f t="shared" si="0"/>
        <v>488</v>
      </c>
      <c r="I27" s="18"/>
      <c r="J27" s="15">
        <f t="shared" si="1"/>
        <v>0</v>
      </c>
      <c r="K27" s="27" t="s">
        <v>63</v>
      </c>
      <c r="L27" s="16" t="str">
        <f t="shared" si="2"/>
        <v>9789865083014</v>
      </c>
      <c r="M27" s="28" t="str">
        <f t="shared" si="3"/>
        <v>https://search.books.com.tw/search/query/key/9789865083014</v>
      </c>
      <c r="N27" s="12" t="s">
        <v>33</v>
      </c>
      <c r="O27" s="12" t="s">
        <v>197</v>
      </c>
      <c r="P27" s="27" t="s">
        <v>35</v>
      </c>
      <c r="Q27" s="17" t="s">
        <v>198</v>
      </c>
    </row>
    <row r="28" spans="1:17" ht="24.9" customHeight="1">
      <c r="A28" s="2" t="s">
        <v>16</v>
      </c>
      <c r="B28" s="11" t="s">
        <v>199</v>
      </c>
      <c r="C28" s="9" t="s">
        <v>200</v>
      </c>
      <c r="D28" s="9" t="s">
        <v>201</v>
      </c>
      <c r="E28" s="13" t="s">
        <v>202</v>
      </c>
      <c r="F28" s="13" t="s">
        <v>203</v>
      </c>
      <c r="G28" s="18">
        <v>380</v>
      </c>
      <c r="H28" s="14">
        <f t="shared" si="0"/>
        <v>285</v>
      </c>
      <c r="I28" s="18"/>
      <c r="J28" s="15">
        <f t="shared" si="1"/>
        <v>0</v>
      </c>
      <c r="K28" s="27" t="s">
        <v>80</v>
      </c>
      <c r="L28" s="16" t="str">
        <f t="shared" si="2"/>
        <v>9789862942420</v>
      </c>
      <c r="M28" s="28" t="str">
        <f t="shared" si="3"/>
        <v>https://search.books.com.tw/search/query/key/9789862942420</v>
      </c>
      <c r="N28" s="12" t="s">
        <v>33</v>
      </c>
      <c r="O28" s="12" t="s">
        <v>101</v>
      </c>
      <c r="P28" s="27" t="s">
        <v>35</v>
      </c>
      <c r="Q28" s="17" t="s">
        <v>36</v>
      </c>
    </row>
    <row r="29" spans="1:17" ht="24.9" customHeight="1">
      <c r="A29" s="2" t="s">
        <v>16</v>
      </c>
      <c r="B29" s="11" t="s">
        <v>204</v>
      </c>
      <c r="C29" s="9" t="s">
        <v>205</v>
      </c>
      <c r="D29" s="9" t="s">
        <v>206</v>
      </c>
      <c r="E29" s="13" t="s">
        <v>207</v>
      </c>
      <c r="F29" s="13" t="s">
        <v>208</v>
      </c>
      <c r="G29" s="18">
        <v>480</v>
      </c>
      <c r="H29" s="14">
        <f t="shared" si="0"/>
        <v>360</v>
      </c>
      <c r="I29" s="18"/>
      <c r="J29" s="15">
        <f t="shared" si="1"/>
        <v>0</v>
      </c>
      <c r="K29" s="27" t="s">
        <v>209</v>
      </c>
      <c r="L29" s="16" t="str">
        <f t="shared" si="2"/>
        <v>9786263551787</v>
      </c>
      <c r="M29" s="28" t="str">
        <f t="shared" si="3"/>
        <v>https://search.books.com.tw/search/query/key/9786263551787</v>
      </c>
      <c r="N29" s="12" t="s">
        <v>23</v>
      </c>
      <c r="O29" s="12" t="s">
        <v>107</v>
      </c>
      <c r="P29" s="27" t="s">
        <v>35</v>
      </c>
      <c r="Q29" s="17" t="s">
        <v>210</v>
      </c>
    </row>
    <row r="30" spans="1:17" ht="24.9" customHeight="1">
      <c r="A30" s="2" t="s">
        <v>16</v>
      </c>
      <c r="B30" s="11" t="s">
        <v>211</v>
      </c>
      <c r="C30" s="9" t="s">
        <v>212</v>
      </c>
      <c r="D30" s="9" t="s">
        <v>213</v>
      </c>
      <c r="E30" s="13" t="s">
        <v>214</v>
      </c>
      <c r="F30" s="13" t="s">
        <v>215</v>
      </c>
      <c r="G30" s="18">
        <v>380</v>
      </c>
      <c r="H30" s="14">
        <f t="shared" si="0"/>
        <v>285</v>
      </c>
      <c r="I30" s="18"/>
      <c r="J30" s="15">
        <f t="shared" si="1"/>
        <v>0</v>
      </c>
      <c r="K30" s="27" t="s">
        <v>216</v>
      </c>
      <c r="L30" s="16" t="str">
        <f t="shared" si="2"/>
        <v>9789863871514</v>
      </c>
      <c r="M30" s="28" t="str">
        <f t="shared" si="3"/>
        <v>https://search.books.com.tw/search/query/key/9789863871514</v>
      </c>
      <c r="N30" s="12" t="s">
        <v>33</v>
      </c>
      <c r="O30" s="12" t="s">
        <v>101</v>
      </c>
      <c r="P30" s="27" t="s">
        <v>35</v>
      </c>
      <c r="Q30" s="17" t="s">
        <v>36</v>
      </c>
    </row>
    <row r="31" spans="1:17" ht="24.9" customHeight="1">
      <c r="A31" s="2" t="s">
        <v>16</v>
      </c>
      <c r="B31" s="11" t="s">
        <v>217</v>
      </c>
      <c r="C31" s="9" t="s">
        <v>218</v>
      </c>
      <c r="D31" s="9" t="s">
        <v>219</v>
      </c>
      <c r="E31" s="13" t="s">
        <v>220</v>
      </c>
      <c r="F31" s="13" t="s">
        <v>221</v>
      </c>
      <c r="G31" s="18">
        <v>260</v>
      </c>
      <c r="H31" s="14">
        <f t="shared" si="0"/>
        <v>195</v>
      </c>
      <c r="I31" s="18"/>
      <c r="J31" s="15">
        <f t="shared" si="1"/>
        <v>0</v>
      </c>
      <c r="K31" s="27" t="s">
        <v>125</v>
      </c>
      <c r="L31" s="16" t="str">
        <f t="shared" si="2"/>
        <v>9789864500079</v>
      </c>
      <c r="M31" s="28" t="str">
        <f t="shared" si="3"/>
        <v>https://search.books.com.tw/search/query/key/9789864500079</v>
      </c>
      <c r="N31" s="12" t="s">
        <v>43</v>
      </c>
      <c r="O31" s="12" t="s">
        <v>44</v>
      </c>
      <c r="P31" s="27" t="s">
        <v>45</v>
      </c>
      <c r="Q31" s="17" t="s">
        <v>46</v>
      </c>
    </row>
    <row r="32" spans="1:17" ht="24.9" customHeight="1">
      <c r="A32" s="2" t="s">
        <v>16</v>
      </c>
      <c r="B32" s="11" t="s">
        <v>222</v>
      </c>
      <c r="C32" s="9" t="s">
        <v>223</v>
      </c>
      <c r="D32" s="9" t="s">
        <v>224</v>
      </c>
      <c r="E32" s="13" t="s">
        <v>225</v>
      </c>
      <c r="F32" s="13" t="s">
        <v>226</v>
      </c>
      <c r="G32" s="18">
        <v>320</v>
      </c>
      <c r="H32" s="14">
        <f t="shared" si="0"/>
        <v>240</v>
      </c>
      <c r="I32" s="18"/>
      <c r="J32" s="15">
        <f t="shared" si="1"/>
        <v>0</v>
      </c>
      <c r="K32" s="27" t="s">
        <v>80</v>
      </c>
      <c r="L32" s="16" t="str">
        <f t="shared" si="2"/>
        <v>9789862940785</v>
      </c>
      <c r="M32" s="28" t="str">
        <f t="shared" si="3"/>
        <v>https://search.books.com.tw/search/query/key/9789862940785</v>
      </c>
      <c r="N32" s="12" t="s">
        <v>33</v>
      </c>
      <c r="O32" s="12" t="s">
        <v>94</v>
      </c>
      <c r="P32" s="27" t="s">
        <v>35</v>
      </c>
      <c r="Q32" s="17" t="s">
        <v>65</v>
      </c>
    </row>
    <row r="33" spans="1:17" ht="24.9" customHeight="1">
      <c r="A33" s="2" t="s">
        <v>16</v>
      </c>
      <c r="B33" s="11" t="s">
        <v>227</v>
      </c>
      <c r="C33" s="9" t="s">
        <v>228</v>
      </c>
      <c r="D33" s="9" t="s">
        <v>229</v>
      </c>
      <c r="E33" s="13" t="s">
        <v>230</v>
      </c>
      <c r="F33" s="13" t="s">
        <v>231</v>
      </c>
      <c r="G33" s="18">
        <v>299</v>
      </c>
      <c r="H33" s="14">
        <f t="shared" si="0"/>
        <v>224</v>
      </c>
      <c r="I33" s="18"/>
      <c r="J33" s="15">
        <f t="shared" si="1"/>
        <v>0</v>
      </c>
      <c r="K33" s="27" t="s">
        <v>232</v>
      </c>
      <c r="L33" s="16" t="str">
        <f t="shared" si="2"/>
        <v>9789869483735</v>
      </c>
      <c r="M33" s="28" t="str">
        <f t="shared" si="3"/>
        <v>https://search.books.com.tw/search/query/key/9789869483735</v>
      </c>
      <c r="N33" s="12" t="s">
        <v>43</v>
      </c>
      <c r="O33" s="12" t="s">
        <v>44</v>
      </c>
      <c r="P33" s="27" t="s">
        <v>45</v>
      </c>
      <c r="Q33" s="17" t="s">
        <v>233</v>
      </c>
    </row>
    <row r="34" spans="1:17" ht="24.9" customHeight="1">
      <c r="A34" s="2" t="s">
        <v>16</v>
      </c>
      <c r="B34" s="11" t="s">
        <v>234</v>
      </c>
      <c r="C34" s="9" t="s">
        <v>235</v>
      </c>
      <c r="D34" s="9" t="s">
        <v>229</v>
      </c>
      <c r="E34" s="13" t="s">
        <v>236</v>
      </c>
      <c r="F34" s="13" t="s">
        <v>237</v>
      </c>
      <c r="G34" s="18">
        <v>299</v>
      </c>
      <c r="H34" s="14">
        <f t="shared" si="0"/>
        <v>224</v>
      </c>
      <c r="I34" s="18"/>
      <c r="J34" s="15">
        <f t="shared" si="1"/>
        <v>0</v>
      </c>
      <c r="K34" s="27" t="s">
        <v>232</v>
      </c>
      <c r="L34" s="16" t="str">
        <f t="shared" si="2"/>
        <v>9789860653991</v>
      </c>
      <c r="M34" s="28" t="str">
        <f t="shared" si="3"/>
        <v>https://search.books.com.tw/search/query/key/9789860653991</v>
      </c>
      <c r="N34" s="12" t="s">
        <v>23</v>
      </c>
      <c r="O34" s="12" t="s">
        <v>238</v>
      </c>
      <c r="P34" s="27" t="s">
        <v>45</v>
      </c>
      <c r="Q34" s="17" t="s">
        <v>239</v>
      </c>
    </row>
    <row r="35" spans="1:17" ht="24.9" customHeight="1">
      <c r="A35" s="2" t="s">
        <v>16</v>
      </c>
      <c r="B35" s="11" t="s">
        <v>240</v>
      </c>
      <c r="C35" s="9" t="s">
        <v>241</v>
      </c>
      <c r="D35" s="9" t="s">
        <v>242</v>
      </c>
      <c r="E35" s="13" t="s">
        <v>243</v>
      </c>
      <c r="F35" s="13" t="s">
        <v>244</v>
      </c>
      <c r="G35" s="18">
        <v>300</v>
      </c>
      <c r="H35" s="14">
        <f t="shared" si="0"/>
        <v>225</v>
      </c>
      <c r="I35" s="18"/>
      <c r="J35" s="15">
        <f t="shared" si="1"/>
        <v>0</v>
      </c>
      <c r="K35" s="27" t="s">
        <v>245</v>
      </c>
      <c r="L35" s="16" t="str">
        <f t="shared" si="2"/>
        <v>9789869225939</v>
      </c>
      <c r="M35" s="28" t="str">
        <f t="shared" si="3"/>
        <v>https://search.books.com.tw/search/query/key/9789869225939</v>
      </c>
      <c r="N35" s="12" t="s">
        <v>43</v>
      </c>
      <c r="O35" s="12" t="s">
        <v>246</v>
      </c>
      <c r="P35" s="27" t="s">
        <v>35</v>
      </c>
      <c r="Q35" s="17" t="s">
        <v>36</v>
      </c>
    </row>
    <row r="36" spans="1:17" ht="24.9" customHeight="1">
      <c r="A36" s="2" t="s">
        <v>16</v>
      </c>
      <c r="B36" s="11" t="s">
        <v>247</v>
      </c>
      <c r="C36" s="9" t="s">
        <v>248</v>
      </c>
      <c r="D36" s="9" t="s">
        <v>249</v>
      </c>
      <c r="E36" s="13" t="s">
        <v>250</v>
      </c>
      <c r="F36" s="13" t="s">
        <v>251</v>
      </c>
      <c r="G36" s="18">
        <v>400</v>
      </c>
      <c r="H36" s="14">
        <f t="shared" si="0"/>
        <v>300</v>
      </c>
      <c r="I36" s="18"/>
      <c r="J36" s="15">
        <f t="shared" si="1"/>
        <v>0</v>
      </c>
      <c r="K36" s="27" t="s">
        <v>252</v>
      </c>
      <c r="L36" s="16" t="str">
        <f t="shared" si="2"/>
        <v>9789863421122</v>
      </c>
      <c r="M36" s="28" t="str">
        <f t="shared" si="3"/>
        <v>https://search.books.com.tw/search/query/key/9789863421122</v>
      </c>
      <c r="N36" s="12" t="s">
        <v>43</v>
      </c>
      <c r="O36" s="12" t="s">
        <v>101</v>
      </c>
      <c r="P36" s="27" t="s">
        <v>35</v>
      </c>
      <c r="Q36" s="17" t="s">
        <v>36</v>
      </c>
    </row>
    <row r="37" spans="1:17" ht="24.9" customHeight="1">
      <c r="A37" s="2" t="s">
        <v>16</v>
      </c>
      <c r="B37" s="11" t="s">
        <v>253</v>
      </c>
      <c r="C37" s="9" t="s">
        <v>254</v>
      </c>
      <c r="D37" s="9" t="s">
        <v>255</v>
      </c>
      <c r="E37" s="13" t="s">
        <v>256</v>
      </c>
      <c r="F37" s="13" t="s">
        <v>257</v>
      </c>
      <c r="G37" s="18">
        <v>380</v>
      </c>
      <c r="H37" s="14">
        <f t="shared" si="0"/>
        <v>285</v>
      </c>
      <c r="I37" s="18"/>
      <c r="J37" s="15">
        <f t="shared" si="1"/>
        <v>0</v>
      </c>
      <c r="K37" s="27" t="s">
        <v>80</v>
      </c>
      <c r="L37" s="16" t="str">
        <f t="shared" si="2"/>
        <v>9789862940938</v>
      </c>
      <c r="M37" s="28" t="str">
        <f t="shared" si="3"/>
        <v>https://search.books.com.tw/search/query/key/9789862940938</v>
      </c>
      <c r="N37" s="12" t="s">
        <v>33</v>
      </c>
      <c r="O37" s="12" t="s">
        <v>258</v>
      </c>
      <c r="P37" s="27" t="s">
        <v>35</v>
      </c>
      <c r="Q37" s="17" t="s">
        <v>65</v>
      </c>
    </row>
    <row r="38" spans="1:17" ht="24.9" customHeight="1">
      <c r="A38" s="2" t="s">
        <v>16</v>
      </c>
      <c r="B38" s="11" t="s">
        <v>259</v>
      </c>
      <c r="C38" s="9" t="s">
        <v>260</v>
      </c>
      <c r="D38" s="9" t="s">
        <v>175</v>
      </c>
      <c r="E38" s="13" t="s">
        <v>261</v>
      </c>
      <c r="F38" s="13" t="s">
        <v>99</v>
      </c>
      <c r="G38" s="18">
        <v>320</v>
      </c>
      <c r="H38" s="14">
        <f t="shared" si="0"/>
        <v>240</v>
      </c>
      <c r="I38" s="18"/>
      <c r="J38" s="15">
        <f t="shared" si="1"/>
        <v>0</v>
      </c>
      <c r="K38" s="27" t="s">
        <v>80</v>
      </c>
      <c r="L38" s="16" t="str">
        <f t="shared" si="2"/>
        <v>9789862940433</v>
      </c>
      <c r="M38" s="28" t="str">
        <f t="shared" si="3"/>
        <v>https://search.books.com.tw/search/query/key/9789862940433</v>
      </c>
      <c r="N38" s="12" t="s">
        <v>33</v>
      </c>
      <c r="O38" s="12" t="s">
        <v>101</v>
      </c>
      <c r="P38" s="27" t="s">
        <v>35</v>
      </c>
      <c r="Q38" s="17" t="s">
        <v>36</v>
      </c>
    </row>
    <row r="39" spans="1:17" ht="24.9" customHeight="1">
      <c r="A39" s="2" t="s">
        <v>16</v>
      </c>
      <c r="B39" s="11" t="s">
        <v>262</v>
      </c>
      <c r="C39" s="9" t="s">
        <v>263</v>
      </c>
      <c r="D39" s="9" t="s">
        <v>264</v>
      </c>
      <c r="E39" s="13" t="s">
        <v>265</v>
      </c>
      <c r="F39" s="13" t="s">
        <v>266</v>
      </c>
      <c r="G39" s="18">
        <v>400</v>
      </c>
      <c r="H39" s="14">
        <f t="shared" si="0"/>
        <v>300</v>
      </c>
      <c r="I39" s="18"/>
      <c r="J39" s="15">
        <f t="shared" si="1"/>
        <v>0</v>
      </c>
      <c r="K39" s="27" t="s">
        <v>267</v>
      </c>
      <c r="L39" s="16" t="str">
        <f t="shared" si="2"/>
        <v>9789860493993</v>
      </c>
      <c r="M39" s="28" t="str">
        <f t="shared" si="3"/>
        <v>https://search.books.com.tw/search/query/key/9789860493993</v>
      </c>
      <c r="N39" s="12" t="s">
        <v>33</v>
      </c>
      <c r="O39" s="12" t="s">
        <v>268</v>
      </c>
      <c r="P39" s="27" t="s">
        <v>35</v>
      </c>
      <c r="Q39" s="17" t="s">
        <v>65</v>
      </c>
    </row>
    <row r="40" spans="1:17" ht="24.9" customHeight="1">
      <c r="A40" s="2" t="s">
        <v>16</v>
      </c>
      <c r="B40" s="11" t="s">
        <v>269</v>
      </c>
      <c r="C40" s="9" t="s">
        <v>270</v>
      </c>
      <c r="D40" s="9" t="s">
        <v>271</v>
      </c>
      <c r="E40" s="13" t="s">
        <v>272</v>
      </c>
      <c r="F40" s="13" t="s">
        <v>273</v>
      </c>
      <c r="G40" s="18">
        <v>420</v>
      </c>
      <c r="H40" s="14">
        <f t="shared" si="0"/>
        <v>315</v>
      </c>
      <c r="I40" s="18"/>
      <c r="J40" s="15">
        <f t="shared" si="1"/>
        <v>0</v>
      </c>
      <c r="K40" s="27" t="s">
        <v>42</v>
      </c>
      <c r="L40" s="16" t="str">
        <f t="shared" si="2"/>
        <v>9789570851359</v>
      </c>
      <c r="M40" s="28" t="str">
        <f t="shared" si="3"/>
        <v>https://search.books.com.tw/search/query/key/9789570851359</v>
      </c>
      <c r="N40" s="12" t="s">
        <v>33</v>
      </c>
      <c r="O40" s="12" t="s">
        <v>274</v>
      </c>
      <c r="P40" s="27" t="s">
        <v>25</v>
      </c>
      <c r="Q40" s="17" t="s">
        <v>275</v>
      </c>
    </row>
    <row r="41" spans="1:17" ht="24.9" customHeight="1">
      <c r="A41" s="2" t="s">
        <v>16</v>
      </c>
      <c r="B41" s="11" t="s">
        <v>276</v>
      </c>
      <c r="C41" s="9" t="s">
        <v>277</v>
      </c>
      <c r="D41" s="9" t="s">
        <v>278</v>
      </c>
      <c r="E41" s="13" t="s">
        <v>279</v>
      </c>
      <c r="F41" s="13" t="s">
        <v>280</v>
      </c>
      <c r="G41" s="18">
        <v>450</v>
      </c>
      <c r="H41" s="14">
        <f t="shared" si="0"/>
        <v>338</v>
      </c>
      <c r="I41" s="18"/>
      <c r="J41" s="15">
        <f t="shared" si="1"/>
        <v>0</v>
      </c>
      <c r="K41" s="27" t="s">
        <v>281</v>
      </c>
      <c r="L41" s="16" t="str">
        <f t="shared" si="2"/>
        <v>9789578017443</v>
      </c>
      <c r="M41" s="28" t="str">
        <f t="shared" si="3"/>
        <v>https://search.books.com.tw/search/query/key/9789578017443</v>
      </c>
      <c r="N41" s="12" t="s">
        <v>33</v>
      </c>
      <c r="O41" s="12" t="s">
        <v>282</v>
      </c>
      <c r="P41" s="27" t="s">
        <v>45</v>
      </c>
      <c r="Q41" s="17" t="s">
        <v>283</v>
      </c>
    </row>
    <row r="42" spans="1:17" ht="24.9" customHeight="1">
      <c r="A42" s="2" t="s">
        <v>16</v>
      </c>
      <c r="B42" s="11" t="s">
        <v>284</v>
      </c>
      <c r="C42" s="9" t="s">
        <v>285</v>
      </c>
      <c r="D42" s="9" t="s">
        <v>286</v>
      </c>
      <c r="E42" s="13" t="s">
        <v>287</v>
      </c>
      <c r="F42" s="13" t="s">
        <v>288</v>
      </c>
      <c r="G42" s="18">
        <v>580</v>
      </c>
      <c r="H42" s="14">
        <f t="shared" si="0"/>
        <v>435</v>
      </c>
      <c r="I42" s="18"/>
      <c r="J42" s="15">
        <f t="shared" si="1"/>
        <v>0</v>
      </c>
      <c r="K42" s="27" t="s">
        <v>289</v>
      </c>
      <c r="L42" s="16" t="str">
        <f t="shared" si="2"/>
        <v>9789862166932</v>
      </c>
      <c r="M42" s="28" t="str">
        <f t="shared" si="3"/>
        <v>https://search.books.com.tw/search/query/key/9789862166932</v>
      </c>
      <c r="N42" s="12" t="s">
        <v>33</v>
      </c>
      <c r="O42" s="12" t="s">
        <v>290</v>
      </c>
      <c r="P42" s="27" t="s">
        <v>35</v>
      </c>
      <c r="Q42" s="17" t="s">
        <v>36</v>
      </c>
    </row>
    <row r="43" spans="1:17" ht="24.9" customHeight="1">
      <c r="A43" s="2" t="s">
        <v>16</v>
      </c>
      <c r="B43" s="11" t="s">
        <v>291</v>
      </c>
      <c r="C43" s="9" t="s">
        <v>292</v>
      </c>
      <c r="D43" s="9" t="s">
        <v>293</v>
      </c>
      <c r="E43" s="13" t="s">
        <v>294</v>
      </c>
      <c r="F43" s="13" t="s">
        <v>295</v>
      </c>
      <c r="G43" s="18">
        <v>300</v>
      </c>
      <c r="H43" s="14">
        <f t="shared" si="0"/>
        <v>225</v>
      </c>
      <c r="I43" s="18"/>
      <c r="J43" s="15">
        <f t="shared" si="1"/>
        <v>0</v>
      </c>
      <c r="K43" s="27" t="s">
        <v>296</v>
      </c>
      <c r="L43" s="16" t="str">
        <f t="shared" si="2"/>
        <v>9789866318740</v>
      </c>
      <c r="M43" s="28" t="str">
        <f t="shared" si="3"/>
        <v>https://search.books.com.tw/search/query/key/9789866318740</v>
      </c>
      <c r="N43" s="12" t="s">
        <v>33</v>
      </c>
      <c r="O43" s="12" t="s">
        <v>297</v>
      </c>
      <c r="P43" s="27" t="s">
        <v>25</v>
      </c>
      <c r="Q43" s="17" t="s">
        <v>36</v>
      </c>
    </row>
    <row r="44" spans="1:17" ht="24.9" customHeight="1">
      <c r="A44" s="2" t="s">
        <v>16</v>
      </c>
      <c r="B44" s="11" t="s">
        <v>298</v>
      </c>
      <c r="C44" s="9" t="s">
        <v>299</v>
      </c>
      <c r="D44" s="9" t="s">
        <v>300</v>
      </c>
      <c r="E44" s="13" t="s">
        <v>301</v>
      </c>
      <c r="F44" s="13" t="s">
        <v>302</v>
      </c>
      <c r="G44" s="18">
        <v>1200</v>
      </c>
      <c r="H44" s="14">
        <f t="shared" si="0"/>
        <v>900</v>
      </c>
      <c r="I44" s="18"/>
      <c r="J44" s="15">
        <f t="shared" si="1"/>
        <v>0</v>
      </c>
      <c r="K44" s="27" t="s">
        <v>171</v>
      </c>
      <c r="L44" s="16" t="str">
        <f t="shared" si="2"/>
        <v>9789868361812</v>
      </c>
      <c r="M44" s="28" t="str">
        <f t="shared" si="3"/>
        <v>https://search.books.com.tw/search/query/key/9789868361812</v>
      </c>
      <c r="N44" s="12" t="s">
        <v>33</v>
      </c>
      <c r="O44" s="12" t="s">
        <v>113</v>
      </c>
      <c r="P44" s="27" t="s">
        <v>35</v>
      </c>
      <c r="Q44" s="17" t="s">
        <v>36</v>
      </c>
    </row>
    <row r="45" spans="1:17" ht="24.9" customHeight="1">
      <c r="A45" s="2" t="s">
        <v>16</v>
      </c>
      <c r="B45" s="11" t="s">
        <v>303</v>
      </c>
      <c r="C45" s="9" t="s">
        <v>304</v>
      </c>
      <c r="D45" s="9" t="s">
        <v>305</v>
      </c>
      <c r="E45" s="13" t="s">
        <v>306</v>
      </c>
      <c r="F45" s="13" t="s">
        <v>307</v>
      </c>
      <c r="G45" s="18">
        <v>280</v>
      </c>
      <c r="H45" s="14">
        <f t="shared" si="0"/>
        <v>210</v>
      </c>
      <c r="I45" s="18"/>
      <c r="J45" s="15">
        <f t="shared" si="1"/>
        <v>0</v>
      </c>
      <c r="K45" s="27" t="s">
        <v>32</v>
      </c>
      <c r="L45" s="16" t="str">
        <f t="shared" si="2"/>
        <v>9789573278979</v>
      </c>
      <c r="M45" s="28" t="str">
        <f t="shared" si="3"/>
        <v>https://search.books.com.tw/search/query/key/9789573278979</v>
      </c>
      <c r="N45" s="12" t="s">
        <v>33</v>
      </c>
      <c r="O45" s="12" t="s">
        <v>308</v>
      </c>
      <c r="P45" s="27" t="s">
        <v>73</v>
      </c>
      <c r="Q45" s="17" t="s">
        <v>309</v>
      </c>
    </row>
    <row r="46" spans="1:17" ht="24.9" customHeight="1">
      <c r="A46" s="2" t="s">
        <v>16</v>
      </c>
      <c r="B46" s="11" t="s">
        <v>310</v>
      </c>
      <c r="C46" s="9" t="s">
        <v>311</v>
      </c>
      <c r="D46" s="9" t="s">
        <v>312</v>
      </c>
      <c r="E46" s="13" t="s">
        <v>313</v>
      </c>
      <c r="F46" s="13" t="s">
        <v>314</v>
      </c>
      <c r="G46" s="18">
        <v>350</v>
      </c>
      <c r="H46" s="14">
        <f t="shared" si="0"/>
        <v>263</v>
      </c>
      <c r="I46" s="18"/>
      <c r="J46" s="15">
        <f t="shared" si="1"/>
        <v>0</v>
      </c>
      <c r="K46" s="27" t="s">
        <v>315</v>
      </c>
      <c r="L46" s="16" t="str">
        <f t="shared" si="2"/>
        <v>9789571180229</v>
      </c>
      <c r="M46" s="28" t="str">
        <f t="shared" si="3"/>
        <v>https://search.books.com.tw/search/query/key/9789571180229</v>
      </c>
      <c r="N46" s="12" t="s">
        <v>33</v>
      </c>
      <c r="O46" s="12" t="s">
        <v>316</v>
      </c>
      <c r="P46" s="27" t="s">
        <v>35</v>
      </c>
      <c r="Q46" s="17" t="s">
        <v>65</v>
      </c>
    </row>
    <row r="47" spans="1:17" ht="24.9" customHeight="1">
      <c r="A47" s="2" t="s">
        <v>16</v>
      </c>
      <c r="B47" s="11" t="s">
        <v>317</v>
      </c>
      <c r="C47" s="9" t="s">
        <v>318</v>
      </c>
      <c r="D47" s="9" t="s">
        <v>319</v>
      </c>
      <c r="E47" s="13" t="s">
        <v>320</v>
      </c>
      <c r="F47" s="13" t="s">
        <v>321</v>
      </c>
      <c r="G47" s="18">
        <v>450</v>
      </c>
      <c r="H47" s="14">
        <f t="shared" si="0"/>
        <v>338</v>
      </c>
      <c r="I47" s="18"/>
      <c r="J47" s="15">
        <f t="shared" si="1"/>
        <v>0</v>
      </c>
      <c r="K47" s="27" t="s">
        <v>80</v>
      </c>
      <c r="L47" s="16" t="str">
        <f t="shared" si="2"/>
        <v>9789862942239</v>
      </c>
      <c r="M47" s="28" t="str">
        <f t="shared" si="3"/>
        <v>https://search.books.com.tw/search/query/key/9789862942239</v>
      </c>
      <c r="N47" s="12" t="s">
        <v>33</v>
      </c>
      <c r="O47" s="12" t="s">
        <v>94</v>
      </c>
      <c r="P47" s="27" t="s">
        <v>35</v>
      </c>
      <c r="Q47" s="17" t="s">
        <v>36</v>
      </c>
    </row>
    <row r="48" spans="1:17" ht="24.9" customHeight="1">
      <c r="A48" s="2" t="s">
        <v>16</v>
      </c>
      <c r="B48" s="11" t="s">
        <v>322</v>
      </c>
      <c r="C48" s="9" t="s">
        <v>323</v>
      </c>
      <c r="D48" s="9" t="s">
        <v>324</v>
      </c>
      <c r="E48" s="13" t="s">
        <v>325</v>
      </c>
      <c r="F48" s="13" t="s">
        <v>326</v>
      </c>
      <c r="G48" s="18">
        <v>510</v>
      </c>
      <c r="H48" s="14">
        <f t="shared" si="0"/>
        <v>383</v>
      </c>
      <c r="I48" s="18"/>
      <c r="J48" s="15">
        <f t="shared" si="1"/>
        <v>0</v>
      </c>
      <c r="K48" s="27" t="s">
        <v>150</v>
      </c>
      <c r="L48" s="16" t="str">
        <f t="shared" si="2"/>
        <v>9789862622872</v>
      </c>
      <c r="M48" s="28" t="str">
        <f t="shared" si="3"/>
        <v>https://search.books.com.tw/search/query/key/9789862622872</v>
      </c>
      <c r="N48" s="12" t="s">
        <v>33</v>
      </c>
      <c r="O48" s="12" t="s">
        <v>327</v>
      </c>
      <c r="P48" s="27" t="s">
        <v>35</v>
      </c>
      <c r="Q48" s="17" t="s">
        <v>36</v>
      </c>
    </row>
    <row r="49" spans="1:17" ht="24.9" customHeight="1">
      <c r="A49" s="2" t="s">
        <v>16</v>
      </c>
      <c r="B49" s="11" t="s">
        <v>328</v>
      </c>
      <c r="C49" s="9" t="s">
        <v>329</v>
      </c>
      <c r="D49" s="9" t="s">
        <v>330</v>
      </c>
      <c r="E49" s="13" t="s">
        <v>331</v>
      </c>
      <c r="F49" s="13" t="s">
        <v>332</v>
      </c>
      <c r="G49" s="18">
        <v>580</v>
      </c>
      <c r="H49" s="14">
        <f t="shared" si="0"/>
        <v>435</v>
      </c>
      <c r="I49" s="18"/>
      <c r="J49" s="15">
        <f t="shared" si="1"/>
        <v>0</v>
      </c>
      <c r="K49" s="27" t="s">
        <v>63</v>
      </c>
      <c r="L49" s="16" t="str">
        <f t="shared" si="2"/>
        <v>9789578630918</v>
      </c>
      <c r="M49" s="28" t="str">
        <f t="shared" si="3"/>
        <v>https://search.books.com.tw/search/query/key/9789578630918</v>
      </c>
      <c r="N49" s="12" t="s">
        <v>33</v>
      </c>
      <c r="O49" s="12" t="s">
        <v>151</v>
      </c>
      <c r="P49" s="27" t="s">
        <v>35</v>
      </c>
      <c r="Q49" s="17" t="s">
        <v>36</v>
      </c>
    </row>
    <row r="50" spans="1:17" ht="24.9" customHeight="1">
      <c r="A50" s="2" t="s">
        <v>16</v>
      </c>
      <c r="B50" s="11" t="s">
        <v>333</v>
      </c>
      <c r="C50" s="9" t="s">
        <v>334</v>
      </c>
      <c r="D50" s="9" t="s">
        <v>335</v>
      </c>
      <c r="E50" s="13" t="s">
        <v>336</v>
      </c>
      <c r="F50" s="13"/>
      <c r="G50" s="18">
        <v>480</v>
      </c>
      <c r="H50" s="14">
        <f t="shared" si="0"/>
        <v>360</v>
      </c>
      <c r="I50" s="18"/>
      <c r="J50" s="15">
        <f t="shared" si="1"/>
        <v>0</v>
      </c>
      <c r="K50" s="27" t="s">
        <v>337</v>
      </c>
      <c r="L50" s="16" t="str">
        <f t="shared" si="2"/>
        <v>9789862160145</v>
      </c>
      <c r="M50" s="28" t="str">
        <f t="shared" si="3"/>
        <v>https://search.books.com.tw/search/query/key/9789862160145</v>
      </c>
      <c r="N50" s="12" t="s">
        <v>33</v>
      </c>
      <c r="O50" s="12"/>
      <c r="P50" s="27" t="s">
        <v>35</v>
      </c>
      <c r="Q50" s="17" t="s">
        <v>36</v>
      </c>
    </row>
    <row r="51" spans="1:17" ht="24.9" customHeight="1">
      <c r="A51" s="2" t="s">
        <v>16</v>
      </c>
      <c r="B51" s="11" t="s">
        <v>338</v>
      </c>
      <c r="C51" s="9" t="s">
        <v>339</v>
      </c>
      <c r="D51" s="9" t="s">
        <v>340</v>
      </c>
      <c r="E51" s="13" t="s">
        <v>341</v>
      </c>
      <c r="F51" s="13" t="s">
        <v>342</v>
      </c>
      <c r="G51" s="18">
        <v>350</v>
      </c>
      <c r="H51" s="14">
        <f t="shared" si="0"/>
        <v>263</v>
      </c>
      <c r="I51" s="18"/>
      <c r="J51" s="15">
        <f t="shared" si="1"/>
        <v>0</v>
      </c>
      <c r="K51" s="27" t="s">
        <v>42</v>
      </c>
      <c r="L51" s="16" t="str">
        <f t="shared" si="2"/>
        <v>9789570848748</v>
      </c>
      <c r="M51" s="28" t="str">
        <f t="shared" si="3"/>
        <v>https://search.books.com.tw/search/query/key/9789570848748</v>
      </c>
      <c r="N51" s="12" t="s">
        <v>343</v>
      </c>
      <c r="O51" s="12" t="s">
        <v>197</v>
      </c>
      <c r="P51" s="27" t="s">
        <v>35</v>
      </c>
      <c r="Q51" s="17" t="s">
        <v>198</v>
      </c>
    </row>
    <row r="52" spans="1:17" ht="24.9" customHeight="1">
      <c r="A52" s="2" t="s">
        <v>16</v>
      </c>
      <c r="B52" s="11" t="s">
        <v>344</v>
      </c>
      <c r="C52" s="9" t="s">
        <v>345</v>
      </c>
      <c r="D52" s="9" t="s">
        <v>346</v>
      </c>
      <c r="E52" s="13" t="s">
        <v>347</v>
      </c>
      <c r="F52" s="13" t="s">
        <v>348</v>
      </c>
      <c r="G52" s="18">
        <v>450</v>
      </c>
      <c r="H52" s="14">
        <f t="shared" si="0"/>
        <v>338</v>
      </c>
      <c r="I52" s="18"/>
      <c r="J52" s="15">
        <f t="shared" si="1"/>
        <v>0</v>
      </c>
      <c r="K52" s="27" t="s">
        <v>349</v>
      </c>
      <c r="L52" s="16" t="str">
        <f t="shared" si="2"/>
        <v>9789864431441</v>
      </c>
      <c r="M52" s="28" t="str">
        <f t="shared" si="3"/>
        <v>https://search.books.com.tw/search/query/key/9789864431441</v>
      </c>
      <c r="N52" s="12" t="s">
        <v>33</v>
      </c>
      <c r="O52" s="12" t="s">
        <v>64</v>
      </c>
      <c r="P52" s="27" t="s">
        <v>35</v>
      </c>
      <c r="Q52" s="17" t="s">
        <v>65</v>
      </c>
    </row>
    <row r="53" spans="1:17" ht="24.9" customHeight="1">
      <c r="A53" s="2" t="s">
        <v>16</v>
      </c>
      <c r="B53" s="11" t="s">
        <v>350</v>
      </c>
      <c r="C53" s="9" t="s">
        <v>351</v>
      </c>
      <c r="D53" s="9" t="s">
        <v>352</v>
      </c>
      <c r="E53" s="13" t="s">
        <v>353</v>
      </c>
      <c r="F53" s="13" t="s">
        <v>354</v>
      </c>
      <c r="G53" s="18">
        <v>450</v>
      </c>
      <c r="H53" s="14">
        <f t="shared" si="0"/>
        <v>338</v>
      </c>
      <c r="I53" s="18"/>
      <c r="J53" s="15">
        <f t="shared" si="1"/>
        <v>0</v>
      </c>
      <c r="K53" s="27" t="s">
        <v>355</v>
      </c>
      <c r="L53" s="16" t="str">
        <f t="shared" si="2"/>
        <v>9786263109100</v>
      </c>
      <c r="M53" s="28" t="str">
        <f t="shared" si="3"/>
        <v>https://search.books.com.tw/search/query/key/9786263109100</v>
      </c>
      <c r="N53" s="12" t="s">
        <v>33</v>
      </c>
      <c r="O53" s="12" t="s">
        <v>316</v>
      </c>
      <c r="P53" s="27" t="s">
        <v>35</v>
      </c>
      <c r="Q53" s="17" t="s">
        <v>198</v>
      </c>
    </row>
    <row r="54" spans="1:17" ht="24.9" customHeight="1">
      <c r="A54" s="2" t="s">
        <v>16</v>
      </c>
      <c r="B54" s="11" t="s">
        <v>356</v>
      </c>
      <c r="C54" s="9" t="s">
        <v>357</v>
      </c>
      <c r="D54" s="9" t="s">
        <v>358</v>
      </c>
      <c r="E54" s="13" t="s">
        <v>359</v>
      </c>
      <c r="F54" s="13" t="s">
        <v>360</v>
      </c>
      <c r="G54" s="18">
        <v>350</v>
      </c>
      <c r="H54" s="14">
        <f t="shared" si="0"/>
        <v>263</v>
      </c>
      <c r="I54" s="18"/>
      <c r="J54" s="15">
        <f t="shared" si="1"/>
        <v>0</v>
      </c>
      <c r="K54" s="27" t="s">
        <v>361</v>
      </c>
      <c r="L54" s="16" t="str">
        <f t="shared" si="2"/>
        <v>9789861371382</v>
      </c>
      <c r="M54" s="28" t="str">
        <f t="shared" si="3"/>
        <v>https://search.books.com.tw/search/query/key/9789861371382</v>
      </c>
      <c r="N54" s="12" t="s">
        <v>33</v>
      </c>
      <c r="O54" s="12" t="s">
        <v>107</v>
      </c>
      <c r="P54" s="27" t="s">
        <v>35</v>
      </c>
      <c r="Q54" s="17" t="s">
        <v>36</v>
      </c>
    </row>
    <row r="55" spans="1:17" ht="24.9" customHeight="1">
      <c r="A55" s="2" t="s">
        <v>16</v>
      </c>
      <c r="B55" s="11" t="s">
        <v>362</v>
      </c>
      <c r="C55" s="9" t="s">
        <v>363</v>
      </c>
      <c r="D55" s="9" t="s">
        <v>364</v>
      </c>
      <c r="E55" s="13" t="s">
        <v>365</v>
      </c>
      <c r="F55" s="13" t="s">
        <v>366</v>
      </c>
      <c r="G55" s="18">
        <v>360</v>
      </c>
      <c r="H55" s="14">
        <f t="shared" si="0"/>
        <v>270</v>
      </c>
      <c r="I55" s="18"/>
      <c r="J55" s="15">
        <f t="shared" si="1"/>
        <v>0</v>
      </c>
      <c r="K55" s="27" t="s">
        <v>32</v>
      </c>
      <c r="L55" s="16" t="str">
        <f t="shared" si="2"/>
        <v>9789573273158</v>
      </c>
      <c r="M55" s="28" t="str">
        <f t="shared" si="3"/>
        <v>https://search.books.com.tw/search/query/key/9789573273158</v>
      </c>
      <c r="N55" s="12" t="s">
        <v>33</v>
      </c>
      <c r="O55" s="12" t="s">
        <v>367</v>
      </c>
      <c r="P55" s="27" t="s">
        <v>35</v>
      </c>
      <c r="Q55" s="17" t="s">
        <v>368</v>
      </c>
    </row>
    <row r="56" spans="1:17" ht="24.9" customHeight="1">
      <c r="A56" s="2" t="s">
        <v>16</v>
      </c>
      <c r="B56" s="11" t="s">
        <v>369</v>
      </c>
      <c r="C56" s="9" t="s">
        <v>370</v>
      </c>
      <c r="D56" s="9" t="s">
        <v>371</v>
      </c>
      <c r="E56" s="13" t="s">
        <v>372</v>
      </c>
      <c r="F56" s="13" t="s">
        <v>373</v>
      </c>
      <c r="G56" s="18">
        <v>398</v>
      </c>
      <c r="H56" s="14">
        <f t="shared" si="0"/>
        <v>299</v>
      </c>
      <c r="I56" s="18"/>
      <c r="J56" s="15">
        <f t="shared" si="1"/>
        <v>0</v>
      </c>
      <c r="K56" s="27" t="s">
        <v>80</v>
      </c>
      <c r="L56" s="16" t="str">
        <f t="shared" si="2"/>
        <v>9789862941126</v>
      </c>
      <c r="M56" s="28" t="str">
        <f t="shared" si="3"/>
        <v>https://search.books.com.tw/search/query/key/9789862941126</v>
      </c>
      <c r="N56" s="12" t="s">
        <v>33</v>
      </c>
      <c r="O56" s="12" t="s">
        <v>101</v>
      </c>
      <c r="P56" s="27" t="s">
        <v>35</v>
      </c>
      <c r="Q56" s="17" t="s">
        <v>36</v>
      </c>
    </row>
    <row r="57" spans="1:17" ht="24.9" customHeight="1">
      <c r="A57" s="2" t="s">
        <v>16</v>
      </c>
      <c r="B57" s="11" t="s">
        <v>374</v>
      </c>
      <c r="C57" s="9" t="s">
        <v>375</v>
      </c>
      <c r="D57" s="9" t="s">
        <v>376</v>
      </c>
      <c r="E57" s="13" t="s">
        <v>377</v>
      </c>
      <c r="F57" s="13" t="s">
        <v>378</v>
      </c>
      <c r="G57" s="18">
        <v>600</v>
      </c>
      <c r="H57" s="14">
        <f t="shared" si="0"/>
        <v>450</v>
      </c>
      <c r="I57" s="18"/>
      <c r="J57" s="15">
        <f t="shared" si="1"/>
        <v>0</v>
      </c>
      <c r="K57" s="27" t="s">
        <v>281</v>
      </c>
      <c r="L57" s="16" t="str">
        <f t="shared" si="2"/>
        <v>9789578019096</v>
      </c>
      <c r="M57" s="28" t="str">
        <f t="shared" si="3"/>
        <v>https://search.books.com.tw/search/query/key/9789578019096</v>
      </c>
      <c r="N57" s="12" t="s">
        <v>43</v>
      </c>
      <c r="O57" s="12" t="s">
        <v>238</v>
      </c>
      <c r="P57" s="27" t="s">
        <v>45</v>
      </c>
      <c r="Q57" s="17" t="s">
        <v>239</v>
      </c>
    </row>
    <row r="58" spans="1:17" ht="24.9" customHeight="1">
      <c r="A58" s="2" t="s">
        <v>16</v>
      </c>
      <c r="B58" s="11" t="s">
        <v>379</v>
      </c>
      <c r="C58" s="9" t="s">
        <v>380</v>
      </c>
      <c r="D58" s="9" t="s">
        <v>340</v>
      </c>
      <c r="E58" s="13" t="s">
        <v>381</v>
      </c>
      <c r="F58" s="13" t="s">
        <v>382</v>
      </c>
      <c r="G58" s="18">
        <v>350</v>
      </c>
      <c r="H58" s="14">
        <f t="shared" si="0"/>
        <v>263</v>
      </c>
      <c r="I58" s="18"/>
      <c r="J58" s="15">
        <f t="shared" si="1"/>
        <v>0</v>
      </c>
      <c r="K58" s="27" t="s">
        <v>42</v>
      </c>
      <c r="L58" s="16" t="str">
        <f t="shared" si="2"/>
        <v>9789570852516</v>
      </c>
      <c r="M58" s="28" t="str">
        <f t="shared" si="3"/>
        <v>https://search.books.com.tw/search/query/key/9789570852516</v>
      </c>
      <c r="N58" s="12" t="s">
        <v>33</v>
      </c>
      <c r="O58" s="12" t="s">
        <v>383</v>
      </c>
      <c r="P58" s="27" t="s">
        <v>384</v>
      </c>
      <c r="Q58" s="17" t="s">
        <v>385</v>
      </c>
    </row>
    <row r="59" spans="1:17" ht="24.9" customHeight="1">
      <c r="A59" s="2" t="s">
        <v>16</v>
      </c>
      <c r="B59" s="11" t="s">
        <v>386</v>
      </c>
      <c r="C59" s="9" t="s">
        <v>387</v>
      </c>
      <c r="D59" s="9" t="s">
        <v>388</v>
      </c>
      <c r="E59" s="13" t="s">
        <v>389</v>
      </c>
      <c r="F59" s="13" t="s">
        <v>390</v>
      </c>
      <c r="G59" s="18">
        <v>350</v>
      </c>
      <c r="H59" s="14">
        <f t="shared" si="0"/>
        <v>263</v>
      </c>
      <c r="I59" s="18"/>
      <c r="J59" s="15">
        <f t="shared" si="1"/>
        <v>0</v>
      </c>
      <c r="K59" s="27" t="s">
        <v>391</v>
      </c>
      <c r="L59" s="16" t="str">
        <f t="shared" si="2"/>
        <v>9789866543111</v>
      </c>
      <c r="M59" s="28" t="str">
        <f t="shared" si="3"/>
        <v>https://search.books.com.tw/search/query/key/9789866543111</v>
      </c>
      <c r="N59" s="12" t="s">
        <v>33</v>
      </c>
      <c r="O59" s="12" t="s">
        <v>392</v>
      </c>
      <c r="P59" s="27" t="s">
        <v>393</v>
      </c>
      <c r="Q59" s="17" t="s">
        <v>394</v>
      </c>
    </row>
    <row r="60" spans="1:17" ht="24.9" customHeight="1">
      <c r="A60" s="2" t="s">
        <v>16</v>
      </c>
      <c r="B60" s="11" t="s">
        <v>395</v>
      </c>
      <c r="C60" s="9" t="s">
        <v>396</v>
      </c>
      <c r="D60" s="9" t="s">
        <v>397</v>
      </c>
      <c r="E60" s="13" t="s">
        <v>398</v>
      </c>
      <c r="F60" s="13" t="s">
        <v>399</v>
      </c>
      <c r="G60" s="18">
        <v>250</v>
      </c>
      <c r="H60" s="14">
        <f t="shared" si="0"/>
        <v>188</v>
      </c>
      <c r="I60" s="18"/>
      <c r="J60" s="15">
        <f t="shared" si="1"/>
        <v>0</v>
      </c>
      <c r="K60" s="27" t="s">
        <v>400</v>
      </c>
      <c r="L60" s="16" t="str">
        <f t="shared" si="2"/>
        <v>9789862233139</v>
      </c>
      <c r="M60" s="28" t="str">
        <f t="shared" si="3"/>
        <v>https://search.books.com.tw/search/query/key/9789862233139</v>
      </c>
      <c r="N60" s="12" t="s">
        <v>33</v>
      </c>
      <c r="O60" s="12" t="s">
        <v>101</v>
      </c>
      <c r="P60" s="27" t="s">
        <v>35</v>
      </c>
      <c r="Q60" s="17" t="s">
        <v>36</v>
      </c>
    </row>
    <row r="61" spans="1:17" ht="24.9" customHeight="1">
      <c r="A61" s="2" t="s">
        <v>16</v>
      </c>
      <c r="B61" s="11" t="s">
        <v>401</v>
      </c>
      <c r="C61" s="9" t="s">
        <v>402</v>
      </c>
      <c r="D61" s="9" t="s">
        <v>403</v>
      </c>
      <c r="E61" s="13" t="s">
        <v>404</v>
      </c>
      <c r="F61" s="13" t="s">
        <v>405</v>
      </c>
      <c r="G61" s="18">
        <v>200</v>
      </c>
      <c r="H61" s="14">
        <f t="shared" si="0"/>
        <v>150</v>
      </c>
      <c r="I61" s="18"/>
      <c r="J61" s="15">
        <f t="shared" si="1"/>
        <v>0</v>
      </c>
      <c r="K61" s="27" t="s">
        <v>42</v>
      </c>
      <c r="L61" s="16" t="str">
        <f t="shared" si="2"/>
        <v>9789570851878</v>
      </c>
      <c r="M61" s="28" t="str">
        <f t="shared" si="3"/>
        <v>https://search.books.com.tw/search/query/key/9789570851878</v>
      </c>
      <c r="N61" s="12" t="s">
        <v>43</v>
      </c>
      <c r="O61" s="12" t="s">
        <v>101</v>
      </c>
      <c r="P61" s="27" t="s">
        <v>35</v>
      </c>
      <c r="Q61" s="17" t="s">
        <v>36</v>
      </c>
    </row>
    <row r="62" spans="1:17" ht="24.9" customHeight="1">
      <c r="A62" s="2" t="s">
        <v>16</v>
      </c>
      <c r="B62" s="11" t="s">
        <v>406</v>
      </c>
      <c r="C62" s="9" t="s">
        <v>407</v>
      </c>
      <c r="D62" s="9" t="s">
        <v>408</v>
      </c>
      <c r="E62" s="13" t="s">
        <v>409</v>
      </c>
      <c r="F62" s="13" t="s">
        <v>410</v>
      </c>
      <c r="G62" s="18">
        <v>200</v>
      </c>
      <c r="H62" s="14">
        <f t="shared" si="0"/>
        <v>150</v>
      </c>
      <c r="I62" s="18"/>
      <c r="J62" s="15">
        <f t="shared" si="1"/>
        <v>0</v>
      </c>
      <c r="K62" s="27" t="s">
        <v>42</v>
      </c>
      <c r="L62" s="16" t="str">
        <f t="shared" si="2"/>
        <v>9789570851564</v>
      </c>
      <c r="M62" s="28" t="str">
        <f t="shared" si="3"/>
        <v>https://search.books.com.tw/search/query/key/9789570851564</v>
      </c>
      <c r="N62" s="12" t="s">
        <v>43</v>
      </c>
      <c r="O62" s="12" t="s">
        <v>101</v>
      </c>
      <c r="P62" s="27" t="s">
        <v>35</v>
      </c>
      <c r="Q62" s="17" t="s">
        <v>36</v>
      </c>
    </row>
    <row r="63" spans="1:17" ht="24.9" customHeight="1">
      <c r="A63" s="2" t="s">
        <v>16</v>
      </c>
      <c r="B63" s="11" t="s">
        <v>411</v>
      </c>
      <c r="C63" s="9" t="s">
        <v>412</v>
      </c>
      <c r="D63" s="9" t="s">
        <v>413</v>
      </c>
      <c r="E63" s="13" t="s">
        <v>414</v>
      </c>
      <c r="F63" s="13" t="s">
        <v>410</v>
      </c>
      <c r="G63" s="18">
        <v>200</v>
      </c>
      <c r="H63" s="14">
        <f t="shared" si="0"/>
        <v>150</v>
      </c>
      <c r="I63" s="18"/>
      <c r="J63" s="15">
        <f t="shared" si="1"/>
        <v>0</v>
      </c>
      <c r="K63" s="27" t="s">
        <v>42</v>
      </c>
      <c r="L63" s="16" t="str">
        <f t="shared" si="2"/>
        <v>9789570851571</v>
      </c>
      <c r="M63" s="28" t="str">
        <f t="shared" si="3"/>
        <v>https://search.books.com.tw/search/query/key/9789570851571</v>
      </c>
      <c r="N63" s="12" t="s">
        <v>43</v>
      </c>
      <c r="O63" s="12" t="s">
        <v>101</v>
      </c>
      <c r="P63" s="27" t="s">
        <v>35</v>
      </c>
      <c r="Q63" s="17" t="s">
        <v>36</v>
      </c>
    </row>
    <row r="64" spans="1:17" ht="24.9" customHeight="1">
      <c r="A64" s="2" t="s">
        <v>16</v>
      </c>
      <c r="B64" s="11" t="s">
        <v>415</v>
      </c>
      <c r="C64" s="9" t="s">
        <v>416</v>
      </c>
      <c r="D64" s="9" t="s">
        <v>417</v>
      </c>
      <c r="E64" s="13" t="s">
        <v>418</v>
      </c>
      <c r="F64" s="13" t="s">
        <v>419</v>
      </c>
      <c r="G64" s="18">
        <v>200</v>
      </c>
      <c r="H64" s="14">
        <f t="shared" si="0"/>
        <v>150</v>
      </c>
      <c r="I64" s="18"/>
      <c r="J64" s="15">
        <f t="shared" si="1"/>
        <v>0</v>
      </c>
      <c r="K64" s="27" t="s">
        <v>42</v>
      </c>
      <c r="L64" s="16" t="str">
        <f t="shared" si="2"/>
        <v>9789570852028</v>
      </c>
      <c r="M64" s="28" t="str">
        <f t="shared" si="3"/>
        <v>https://search.books.com.tw/search/query/key/9789570852028</v>
      </c>
      <c r="N64" s="12" t="s">
        <v>43</v>
      </c>
      <c r="O64" s="12" t="s">
        <v>101</v>
      </c>
      <c r="P64" s="27" t="s">
        <v>35</v>
      </c>
      <c r="Q64" s="17" t="s">
        <v>36</v>
      </c>
    </row>
    <row r="65" spans="1:17" ht="24.9" customHeight="1">
      <c r="A65" s="2" t="s">
        <v>16</v>
      </c>
      <c r="B65" s="11" t="s">
        <v>420</v>
      </c>
      <c r="C65" s="9" t="s">
        <v>421</v>
      </c>
      <c r="D65" s="9" t="s">
        <v>422</v>
      </c>
      <c r="E65" s="13" t="s">
        <v>423</v>
      </c>
      <c r="F65" s="13" t="s">
        <v>424</v>
      </c>
      <c r="G65" s="18">
        <v>450</v>
      </c>
      <c r="H65" s="14">
        <f t="shared" si="0"/>
        <v>338</v>
      </c>
      <c r="I65" s="18"/>
      <c r="J65" s="15">
        <f t="shared" si="1"/>
        <v>0</v>
      </c>
      <c r="K65" s="27" t="s">
        <v>349</v>
      </c>
      <c r="L65" s="16" t="str">
        <f t="shared" si="2"/>
        <v>9789861774015</v>
      </c>
      <c r="M65" s="28" t="str">
        <f t="shared" si="3"/>
        <v>https://search.books.com.tw/search/query/key/9789861774015</v>
      </c>
      <c r="N65" s="12" t="s">
        <v>33</v>
      </c>
      <c r="O65" s="12" t="s">
        <v>64</v>
      </c>
      <c r="P65" s="27" t="s">
        <v>35</v>
      </c>
      <c r="Q65" s="17" t="s">
        <v>36</v>
      </c>
    </row>
    <row r="66" spans="1:17" ht="24.9" customHeight="1">
      <c r="A66" s="2" t="s">
        <v>16</v>
      </c>
      <c r="B66" s="11" t="s">
        <v>425</v>
      </c>
      <c r="C66" s="9" t="s">
        <v>426</v>
      </c>
      <c r="D66" s="9" t="s">
        <v>427</v>
      </c>
      <c r="E66" s="13" t="s">
        <v>428</v>
      </c>
      <c r="F66" s="13" t="s">
        <v>429</v>
      </c>
      <c r="G66" s="18">
        <v>280</v>
      </c>
      <c r="H66" s="14">
        <f t="shared" ref="H66:H129" si="4">ROUND(G66*75%,0)</f>
        <v>210</v>
      </c>
      <c r="I66" s="18"/>
      <c r="J66" s="15">
        <f t="shared" ref="J66:J129" si="5">H66*I66</f>
        <v>0</v>
      </c>
      <c r="K66" s="27" t="s">
        <v>430</v>
      </c>
      <c r="L66" s="16" t="str">
        <f t="shared" ref="L66:L129" si="6">HYPERLINK(M66,E66)</f>
        <v>9789575749392</v>
      </c>
      <c r="M66" s="28" t="str">
        <f t="shared" ref="M66:M129" si="7">"https://search.books.com.tw/search/query/key/"&amp;E66</f>
        <v>https://search.books.com.tw/search/query/key/9789575749392</v>
      </c>
      <c r="N66" s="12" t="s">
        <v>43</v>
      </c>
      <c r="O66" s="12" t="s">
        <v>431</v>
      </c>
      <c r="P66" s="27" t="s">
        <v>45</v>
      </c>
      <c r="Q66" s="17" t="s">
        <v>46</v>
      </c>
    </row>
    <row r="67" spans="1:17" ht="24.9" customHeight="1">
      <c r="A67" s="2" t="s">
        <v>16</v>
      </c>
      <c r="B67" s="11" t="s">
        <v>432</v>
      </c>
      <c r="C67" s="9" t="s">
        <v>433</v>
      </c>
      <c r="D67" s="9" t="s">
        <v>434</v>
      </c>
      <c r="E67" s="13" t="s">
        <v>435</v>
      </c>
      <c r="F67" s="13" t="s">
        <v>436</v>
      </c>
      <c r="G67" s="18">
        <v>350</v>
      </c>
      <c r="H67" s="14">
        <f t="shared" si="4"/>
        <v>263</v>
      </c>
      <c r="I67" s="18"/>
      <c r="J67" s="15">
        <f t="shared" si="5"/>
        <v>0</v>
      </c>
      <c r="K67" s="27" t="s">
        <v>437</v>
      </c>
      <c r="L67" s="16" t="str">
        <f t="shared" si="6"/>
        <v>9789866614927</v>
      </c>
      <c r="M67" s="28" t="str">
        <f t="shared" si="7"/>
        <v>https://search.books.com.tw/search/query/key/9789866614927</v>
      </c>
      <c r="N67" s="12" t="s">
        <v>33</v>
      </c>
      <c r="O67" s="12" t="s">
        <v>438</v>
      </c>
      <c r="P67" s="27" t="s">
        <v>191</v>
      </c>
      <c r="Q67" s="17" t="s">
        <v>36</v>
      </c>
    </row>
    <row r="68" spans="1:17" ht="24.9" customHeight="1">
      <c r="A68" s="2" t="s">
        <v>16</v>
      </c>
      <c r="B68" s="11" t="s">
        <v>439</v>
      </c>
      <c r="C68" s="9" t="s">
        <v>440</v>
      </c>
      <c r="D68" s="9" t="s">
        <v>441</v>
      </c>
      <c r="E68" s="13" t="s">
        <v>442</v>
      </c>
      <c r="F68" s="13" t="s">
        <v>443</v>
      </c>
      <c r="G68" s="18">
        <v>500</v>
      </c>
      <c r="H68" s="14">
        <f t="shared" si="4"/>
        <v>375</v>
      </c>
      <c r="I68" s="18"/>
      <c r="J68" s="15">
        <f t="shared" si="5"/>
        <v>0</v>
      </c>
      <c r="K68" s="27" t="s">
        <v>281</v>
      </c>
      <c r="L68" s="16" t="str">
        <f t="shared" si="6"/>
        <v>9789578012134</v>
      </c>
      <c r="M68" s="28" t="str">
        <f t="shared" si="7"/>
        <v>https://search.books.com.tw/search/query/key/9789578012134</v>
      </c>
      <c r="N68" s="12" t="s">
        <v>43</v>
      </c>
      <c r="O68" s="12" t="s">
        <v>444</v>
      </c>
      <c r="P68" s="27" t="s">
        <v>45</v>
      </c>
      <c r="Q68" s="17" t="s">
        <v>445</v>
      </c>
    </row>
    <row r="69" spans="1:17" ht="24.9" customHeight="1">
      <c r="A69" s="2" t="s">
        <v>16</v>
      </c>
      <c r="B69" s="11" t="s">
        <v>446</v>
      </c>
      <c r="C69" s="9" t="s">
        <v>447</v>
      </c>
      <c r="D69" s="9" t="s">
        <v>448</v>
      </c>
      <c r="E69" s="13" t="s">
        <v>449</v>
      </c>
      <c r="F69" s="13" t="s">
        <v>450</v>
      </c>
      <c r="G69" s="18">
        <v>350</v>
      </c>
      <c r="H69" s="14">
        <f t="shared" si="4"/>
        <v>263</v>
      </c>
      <c r="I69" s="18"/>
      <c r="J69" s="15">
        <f t="shared" si="5"/>
        <v>0</v>
      </c>
      <c r="K69" s="27" t="s">
        <v>80</v>
      </c>
      <c r="L69" s="16" t="str">
        <f t="shared" si="6"/>
        <v>9789866789496</v>
      </c>
      <c r="M69" s="28" t="str">
        <f t="shared" si="7"/>
        <v>https://search.books.com.tw/search/query/key/9789866789496</v>
      </c>
      <c r="N69" s="12" t="s">
        <v>33</v>
      </c>
      <c r="O69" s="12" t="s">
        <v>451</v>
      </c>
      <c r="P69" s="27" t="s">
        <v>25</v>
      </c>
      <c r="Q69" s="17" t="s">
        <v>26</v>
      </c>
    </row>
    <row r="70" spans="1:17" ht="24.9" customHeight="1">
      <c r="A70" s="2" t="s">
        <v>16</v>
      </c>
      <c r="B70" s="11" t="s">
        <v>452</v>
      </c>
      <c r="C70" s="9" t="s">
        <v>453</v>
      </c>
      <c r="D70" s="9" t="s">
        <v>454</v>
      </c>
      <c r="E70" s="13" t="s">
        <v>455</v>
      </c>
      <c r="F70" s="13" t="s">
        <v>456</v>
      </c>
      <c r="G70" s="18">
        <v>280</v>
      </c>
      <c r="H70" s="14">
        <f t="shared" si="4"/>
        <v>210</v>
      </c>
      <c r="I70" s="18"/>
      <c r="J70" s="15">
        <f t="shared" si="5"/>
        <v>0</v>
      </c>
      <c r="K70" s="27" t="s">
        <v>42</v>
      </c>
      <c r="L70" s="16" t="str">
        <f t="shared" si="6"/>
        <v>9789860502879</v>
      </c>
      <c r="M70" s="28" t="str">
        <f t="shared" si="7"/>
        <v>https://search.books.com.tw/search/query/key/9789860502879</v>
      </c>
      <c r="N70" s="12" t="s">
        <v>43</v>
      </c>
      <c r="O70" s="12" t="s">
        <v>44</v>
      </c>
      <c r="P70" s="27" t="s">
        <v>45</v>
      </c>
      <c r="Q70" s="17" t="s">
        <v>46</v>
      </c>
    </row>
    <row r="71" spans="1:17" ht="24.9" customHeight="1">
      <c r="A71" s="2" t="s">
        <v>16</v>
      </c>
      <c r="B71" s="11" t="s">
        <v>457</v>
      </c>
      <c r="C71" s="9" t="s">
        <v>458</v>
      </c>
      <c r="D71" s="9" t="s">
        <v>459</v>
      </c>
      <c r="E71" s="13" t="s">
        <v>460</v>
      </c>
      <c r="F71" s="13" t="s">
        <v>461</v>
      </c>
      <c r="G71" s="18">
        <v>260</v>
      </c>
      <c r="H71" s="14">
        <f t="shared" si="4"/>
        <v>195</v>
      </c>
      <c r="I71" s="18"/>
      <c r="J71" s="15">
        <f t="shared" si="5"/>
        <v>0</v>
      </c>
      <c r="K71" s="27" t="s">
        <v>462</v>
      </c>
      <c r="L71" s="16" t="str">
        <f t="shared" si="6"/>
        <v>9789861893150</v>
      </c>
      <c r="M71" s="28" t="str">
        <f t="shared" si="7"/>
        <v>https://search.books.com.tw/search/query/key/9789861893150</v>
      </c>
      <c r="N71" s="12" t="s">
        <v>33</v>
      </c>
      <c r="O71" s="12" t="s">
        <v>463</v>
      </c>
      <c r="P71" s="27" t="s">
        <v>35</v>
      </c>
      <c r="Q71" s="17" t="s">
        <v>36</v>
      </c>
    </row>
    <row r="72" spans="1:17" ht="24.9" customHeight="1">
      <c r="A72" s="2" t="s">
        <v>16</v>
      </c>
      <c r="B72" s="11" t="s">
        <v>464</v>
      </c>
      <c r="C72" s="9" t="s">
        <v>465</v>
      </c>
      <c r="D72" s="9" t="s">
        <v>466</v>
      </c>
      <c r="E72" s="13" t="s">
        <v>467</v>
      </c>
      <c r="F72" s="13" t="s">
        <v>468</v>
      </c>
      <c r="G72" s="18">
        <v>560</v>
      </c>
      <c r="H72" s="14">
        <f t="shared" si="4"/>
        <v>420</v>
      </c>
      <c r="I72" s="18"/>
      <c r="J72" s="15">
        <f t="shared" si="5"/>
        <v>0</v>
      </c>
      <c r="K72" s="27" t="s">
        <v>42</v>
      </c>
      <c r="L72" s="16" t="str">
        <f t="shared" si="6"/>
        <v>4711132387575</v>
      </c>
      <c r="M72" s="28" t="str">
        <f t="shared" si="7"/>
        <v>https://search.books.com.tw/search/query/key/4711132387575</v>
      </c>
      <c r="N72" s="12" t="s">
        <v>33</v>
      </c>
      <c r="O72" s="12"/>
      <c r="P72" s="27" t="s">
        <v>35</v>
      </c>
      <c r="Q72" s="17" t="s">
        <v>46</v>
      </c>
    </row>
    <row r="73" spans="1:17" ht="24.9" customHeight="1">
      <c r="A73" s="2" t="s">
        <v>16</v>
      </c>
      <c r="B73" s="11" t="s">
        <v>469</v>
      </c>
      <c r="C73" s="9" t="s">
        <v>470</v>
      </c>
      <c r="D73" s="9" t="s">
        <v>471</v>
      </c>
      <c r="E73" s="13" t="s">
        <v>472</v>
      </c>
      <c r="F73" s="13" t="s">
        <v>473</v>
      </c>
      <c r="G73" s="18">
        <v>300</v>
      </c>
      <c r="H73" s="14">
        <f t="shared" si="4"/>
        <v>225</v>
      </c>
      <c r="I73" s="18"/>
      <c r="J73" s="15">
        <f t="shared" si="5"/>
        <v>0</v>
      </c>
      <c r="K73" s="27" t="s">
        <v>474</v>
      </c>
      <c r="L73" s="16" t="str">
        <f t="shared" si="6"/>
        <v>9789866798368</v>
      </c>
      <c r="M73" s="28" t="str">
        <f t="shared" si="7"/>
        <v>https://search.books.com.tw/search/query/key/9789866798368</v>
      </c>
      <c r="N73" s="12" t="s">
        <v>33</v>
      </c>
      <c r="O73" s="12" t="s">
        <v>274</v>
      </c>
      <c r="P73" s="27" t="s">
        <v>25</v>
      </c>
      <c r="Q73" s="17" t="s">
        <v>26</v>
      </c>
    </row>
    <row r="74" spans="1:17" ht="24.9" customHeight="1">
      <c r="A74" s="2" t="s">
        <v>16</v>
      </c>
      <c r="B74" s="11" t="s">
        <v>475</v>
      </c>
      <c r="C74" s="9" t="s">
        <v>476</v>
      </c>
      <c r="D74" s="9" t="s">
        <v>477</v>
      </c>
      <c r="E74" s="13" t="s">
        <v>478</v>
      </c>
      <c r="F74" s="13" t="s">
        <v>479</v>
      </c>
      <c r="G74" s="18">
        <v>399</v>
      </c>
      <c r="H74" s="14">
        <f t="shared" si="4"/>
        <v>299</v>
      </c>
      <c r="I74" s="18"/>
      <c r="J74" s="15">
        <f t="shared" si="5"/>
        <v>0</v>
      </c>
      <c r="K74" s="27" t="s">
        <v>480</v>
      </c>
      <c r="L74" s="16" t="str">
        <f t="shared" si="6"/>
        <v>9789865722456</v>
      </c>
      <c r="M74" s="28" t="str">
        <f t="shared" si="7"/>
        <v>https://search.books.com.tw/search/query/key/9789865722456</v>
      </c>
      <c r="N74" s="12" t="s">
        <v>33</v>
      </c>
      <c r="O74" s="12" t="s">
        <v>481</v>
      </c>
      <c r="P74" s="27" t="s">
        <v>384</v>
      </c>
      <c r="Q74" s="17" t="s">
        <v>385</v>
      </c>
    </row>
    <row r="75" spans="1:17" ht="24.9" customHeight="1">
      <c r="A75" s="2" t="s">
        <v>16</v>
      </c>
      <c r="B75" s="11" t="s">
        <v>482</v>
      </c>
      <c r="C75" s="9" t="s">
        <v>483</v>
      </c>
      <c r="D75" s="9" t="s">
        <v>484</v>
      </c>
      <c r="E75" s="13" t="s">
        <v>485</v>
      </c>
      <c r="F75" s="13" t="s">
        <v>486</v>
      </c>
      <c r="G75" s="18">
        <v>300</v>
      </c>
      <c r="H75" s="14">
        <f t="shared" si="4"/>
        <v>225</v>
      </c>
      <c r="I75" s="18"/>
      <c r="J75" s="15">
        <f t="shared" si="5"/>
        <v>0</v>
      </c>
      <c r="K75" s="27" t="s">
        <v>315</v>
      </c>
      <c r="L75" s="16" t="str">
        <f t="shared" si="6"/>
        <v>9789571188898</v>
      </c>
      <c r="M75" s="28" t="str">
        <f t="shared" si="7"/>
        <v>https://search.books.com.tw/search/query/key/9789571188898</v>
      </c>
      <c r="N75" s="12" t="s">
        <v>33</v>
      </c>
      <c r="O75" s="12" t="s">
        <v>101</v>
      </c>
      <c r="P75" s="27" t="s">
        <v>35</v>
      </c>
      <c r="Q75" s="17" t="s">
        <v>36</v>
      </c>
    </row>
    <row r="76" spans="1:17" ht="24.9" customHeight="1">
      <c r="A76" s="2" t="s">
        <v>16</v>
      </c>
      <c r="B76" s="11" t="s">
        <v>487</v>
      </c>
      <c r="C76" s="9" t="s">
        <v>488</v>
      </c>
      <c r="D76" s="9" t="s">
        <v>489</v>
      </c>
      <c r="E76" s="13" t="s">
        <v>490</v>
      </c>
      <c r="F76" s="13" t="s">
        <v>491</v>
      </c>
      <c r="G76" s="18">
        <v>180</v>
      </c>
      <c r="H76" s="14">
        <f t="shared" si="4"/>
        <v>135</v>
      </c>
      <c r="I76" s="18"/>
      <c r="J76" s="15">
        <f t="shared" si="5"/>
        <v>0</v>
      </c>
      <c r="K76" s="27" t="s">
        <v>492</v>
      </c>
      <c r="L76" s="16" t="str">
        <f t="shared" si="6"/>
        <v>9789576636875</v>
      </c>
      <c r="M76" s="28" t="str">
        <f t="shared" si="7"/>
        <v>https://search.books.com.tw/search/query/key/9789576636875</v>
      </c>
      <c r="N76" s="12" t="s">
        <v>33</v>
      </c>
      <c r="O76" s="12" t="s">
        <v>493</v>
      </c>
      <c r="P76" s="27" t="s">
        <v>35</v>
      </c>
      <c r="Q76" s="17" t="s">
        <v>36</v>
      </c>
    </row>
    <row r="77" spans="1:17" ht="24.9" customHeight="1">
      <c r="A77" s="2" t="s">
        <v>16</v>
      </c>
      <c r="B77" s="11" t="s">
        <v>494</v>
      </c>
      <c r="C77" s="9" t="s">
        <v>495</v>
      </c>
      <c r="D77" s="9" t="s">
        <v>496</v>
      </c>
      <c r="E77" s="13" t="s">
        <v>497</v>
      </c>
      <c r="F77" s="13" t="s">
        <v>498</v>
      </c>
      <c r="G77" s="18">
        <v>290</v>
      </c>
      <c r="H77" s="14">
        <f t="shared" si="4"/>
        <v>218</v>
      </c>
      <c r="I77" s="18"/>
      <c r="J77" s="15">
        <f t="shared" si="5"/>
        <v>0</v>
      </c>
      <c r="K77" s="27" t="s">
        <v>42</v>
      </c>
      <c r="L77" s="16" t="str">
        <f t="shared" si="6"/>
        <v>9789570847222</v>
      </c>
      <c r="M77" s="28" t="str">
        <f t="shared" si="7"/>
        <v>https://search.books.com.tw/search/query/key/9789570847222</v>
      </c>
      <c r="N77" s="12" t="s">
        <v>33</v>
      </c>
      <c r="O77" s="12" t="s">
        <v>499</v>
      </c>
      <c r="P77" s="27" t="s">
        <v>384</v>
      </c>
      <c r="Q77" s="17" t="s">
        <v>385</v>
      </c>
    </row>
    <row r="78" spans="1:17" ht="24.9" customHeight="1">
      <c r="A78" s="2" t="s">
        <v>16</v>
      </c>
      <c r="B78" s="11" t="s">
        <v>500</v>
      </c>
      <c r="C78" s="9" t="s">
        <v>501</v>
      </c>
      <c r="D78" s="9" t="s">
        <v>502</v>
      </c>
      <c r="E78" s="13" t="s">
        <v>503</v>
      </c>
      <c r="F78" s="13" t="s">
        <v>504</v>
      </c>
      <c r="G78" s="18">
        <v>650</v>
      </c>
      <c r="H78" s="14">
        <f t="shared" si="4"/>
        <v>488</v>
      </c>
      <c r="I78" s="18"/>
      <c r="J78" s="15">
        <f t="shared" si="5"/>
        <v>0</v>
      </c>
      <c r="K78" s="27" t="s">
        <v>337</v>
      </c>
      <c r="L78" s="16" t="str">
        <f t="shared" si="6"/>
        <v>9789863202844</v>
      </c>
      <c r="M78" s="28" t="str">
        <f t="shared" si="7"/>
        <v>https://search.books.com.tw/search/query/key/9789863202844</v>
      </c>
      <c r="N78" s="12" t="s">
        <v>43</v>
      </c>
      <c r="O78" s="12" t="s">
        <v>81</v>
      </c>
      <c r="P78" s="27" t="s">
        <v>35</v>
      </c>
      <c r="Q78" s="17" t="s">
        <v>36</v>
      </c>
    </row>
    <row r="79" spans="1:17" ht="24.9" customHeight="1">
      <c r="A79" s="2" t="s">
        <v>16</v>
      </c>
      <c r="B79" s="11" t="s">
        <v>505</v>
      </c>
      <c r="C79" s="9" t="s">
        <v>506</v>
      </c>
      <c r="D79" s="9" t="s">
        <v>507</v>
      </c>
      <c r="E79" s="13" t="s">
        <v>508</v>
      </c>
      <c r="F79" s="13" t="s">
        <v>509</v>
      </c>
      <c r="G79" s="18">
        <v>290</v>
      </c>
      <c r="H79" s="14">
        <f t="shared" si="4"/>
        <v>218</v>
      </c>
      <c r="I79" s="18"/>
      <c r="J79" s="15">
        <f t="shared" si="5"/>
        <v>0</v>
      </c>
      <c r="K79" s="27" t="s">
        <v>510</v>
      </c>
      <c r="L79" s="16" t="str">
        <f t="shared" si="6"/>
        <v>9789861334691</v>
      </c>
      <c r="M79" s="28" t="str">
        <f t="shared" si="7"/>
        <v>https://search.books.com.tw/search/query/key/9789861334691</v>
      </c>
      <c r="N79" s="12" t="s">
        <v>33</v>
      </c>
      <c r="O79" s="12" t="s">
        <v>113</v>
      </c>
      <c r="P79" s="27" t="s">
        <v>35</v>
      </c>
      <c r="Q79" s="17" t="s">
        <v>36</v>
      </c>
    </row>
    <row r="80" spans="1:17" ht="24.9" customHeight="1">
      <c r="A80" s="2" t="s">
        <v>16</v>
      </c>
      <c r="B80" s="11" t="s">
        <v>511</v>
      </c>
      <c r="C80" s="9" t="s">
        <v>512</v>
      </c>
      <c r="D80" s="9" t="s">
        <v>513</v>
      </c>
      <c r="E80" s="13" t="s">
        <v>514</v>
      </c>
      <c r="F80" s="13" t="s">
        <v>515</v>
      </c>
      <c r="G80" s="18">
        <v>350</v>
      </c>
      <c r="H80" s="14">
        <f t="shared" si="4"/>
        <v>263</v>
      </c>
      <c r="I80" s="18"/>
      <c r="J80" s="15">
        <f t="shared" si="5"/>
        <v>0</v>
      </c>
      <c r="K80" s="27" t="s">
        <v>32</v>
      </c>
      <c r="L80" s="16" t="str">
        <f t="shared" si="6"/>
        <v>9789573276449</v>
      </c>
      <c r="M80" s="28" t="str">
        <f t="shared" si="7"/>
        <v>https://search.books.com.tw/search/query/key/9789573276449</v>
      </c>
      <c r="N80" s="12" t="s">
        <v>33</v>
      </c>
      <c r="O80" s="12" t="s">
        <v>516</v>
      </c>
      <c r="P80" s="27" t="s">
        <v>73</v>
      </c>
      <c r="Q80" s="17" t="s">
        <v>26</v>
      </c>
    </row>
    <row r="81" spans="1:17" ht="24.9" customHeight="1">
      <c r="A81" s="2" t="s">
        <v>16</v>
      </c>
      <c r="B81" s="11" t="s">
        <v>517</v>
      </c>
      <c r="C81" s="9" t="s">
        <v>518</v>
      </c>
      <c r="D81" s="9" t="s">
        <v>519</v>
      </c>
      <c r="E81" s="13" t="s">
        <v>520</v>
      </c>
      <c r="F81" s="13" t="s">
        <v>521</v>
      </c>
      <c r="G81" s="18">
        <v>320</v>
      </c>
      <c r="H81" s="14">
        <f t="shared" si="4"/>
        <v>240</v>
      </c>
      <c r="I81" s="18"/>
      <c r="J81" s="15">
        <f t="shared" si="5"/>
        <v>0</v>
      </c>
      <c r="K81" s="27" t="s">
        <v>42</v>
      </c>
      <c r="L81" s="16" t="str">
        <f t="shared" si="6"/>
        <v>9789570871838</v>
      </c>
      <c r="M81" s="28" t="str">
        <f t="shared" si="7"/>
        <v>https://search.books.com.tw/search/query/key/9789570871838</v>
      </c>
      <c r="N81" s="12" t="s">
        <v>522</v>
      </c>
      <c r="O81" s="12" t="s">
        <v>238</v>
      </c>
      <c r="P81" s="27" t="s">
        <v>45</v>
      </c>
      <c r="Q81" s="17" t="s">
        <v>523</v>
      </c>
    </row>
    <row r="82" spans="1:17" ht="24.9" customHeight="1">
      <c r="A82" s="2" t="s">
        <v>16</v>
      </c>
      <c r="B82" s="11" t="s">
        <v>524</v>
      </c>
      <c r="C82" s="9" t="s">
        <v>525</v>
      </c>
      <c r="D82" s="9" t="s">
        <v>526</v>
      </c>
      <c r="E82" s="13" t="s">
        <v>527</v>
      </c>
      <c r="F82" s="13" t="s">
        <v>528</v>
      </c>
      <c r="G82" s="18">
        <v>300</v>
      </c>
      <c r="H82" s="14">
        <f t="shared" si="4"/>
        <v>225</v>
      </c>
      <c r="I82" s="18"/>
      <c r="J82" s="15">
        <f t="shared" si="5"/>
        <v>0</v>
      </c>
      <c r="K82" s="27" t="s">
        <v>32</v>
      </c>
      <c r="L82" s="16" t="str">
        <f t="shared" si="6"/>
        <v>9789860295412</v>
      </c>
      <c r="M82" s="28" t="str">
        <f t="shared" si="7"/>
        <v>https://search.books.com.tw/search/query/key/9789860295412</v>
      </c>
      <c r="N82" s="12" t="s">
        <v>33</v>
      </c>
      <c r="O82" s="12" t="s">
        <v>463</v>
      </c>
      <c r="P82" s="27" t="s">
        <v>35</v>
      </c>
      <c r="Q82" s="17" t="s">
        <v>36</v>
      </c>
    </row>
    <row r="83" spans="1:17" ht="24.9" customHeight="1">
      <c r="A83" s="2" t="s">
        <v>16</v>
      </c>
      <c r="B83" s="11" t="s">
        <v>529</v>
      </c>
      <c r="C83" s="9" t="s">
        <v>530</v>
      </c>
      <c r="D83" s="9" t="s">
        <v>531</v>
      </c>
      <c r="E83" s="13" t="s">
        <v>532</v>
      </c>
      <c r="F83" s="13" t="s">
        <v>533</v>
      </c>
      <c r="G83" s="18">
        <v>399</v>
      </c>
      <c r="H83" s="14">
        <f t="shared" si="4"/>
        <v>299</v>
      </c>
      <c r="I83" s="18"/>
      <c r="J83" s="15">
        <f t="shared" si="5"/>
        <v>0</v>
      </c>
      <c r="K83" s="27" t="s">
        <v>171</v>
      </c>
      <c r="L83" s="16" t="str">
        <f t="shared" si="6"/>
        <v>9789866292552</v>
      </c>
      <c r="M83" s="28" t="str">
        <f t="shared" si="7"/>
        <v>https://search.books.com.tw/search/query/key/9789866292552</v>
      </c>
      <c r="N83" s="12" t="s">
        <v>33</v>
      </c>
      <c r="O83" s="12" t="s">
        <v>534</v>
      </c>
      <c r="P83" s="27" t="s">
        <v>535</v>
      </c>
      <c r="Q83" s="17" t="s">
        <v>74</v>
      </c>
    </row>
    <row r="84" spans="1:17" ht="24.9" customHeight="1">
      <c r="A84" s="2" t="s">
        <v>16</v>
      </c>
      <c r="B84" s="11" t="s">
        <v>536</v>
      </c>
      <c r="C84" s="9" t="s">
        <v>537</v>
      </c>
      <c r="D84" s="9" t="s">
        <v>538</v>
      </c>
      <c r="E84" s="13" t="s">
        <v>539</v>
      </c>
      <c r="F84" s="13" t="s">
        <v>540</v>
      </c>
      <c r="G84" s="18">
        <v>900</v>
      </c>
      <c r="H84" s="14">
        <f t="shared" si="4"/>
        <v>675</v>
      </c>
      <c r="I84" s="18"/>
      <c r="J84" s="15">
        <f t="shared" si="5"/>
        <v>0</v>
      </c>
      <c r="K84" s="27" t="s">
        <v>541</v>
      </c>
      <c r="L84" s="16" t="str">
        <f t="shared" si="6"/>
        <v>9789869533492</v>
      </c>
      <c r="M84" s="28" t="str">
        <f t="shared" si="7"/>
        <v>https://search.books.com.tw/search/query/key/9789869533492</v>
      </c>
      <c r="N84" s="12" t="s">
        <v>33</v>
      </c>
      <c r="O84" s="12" t="s">
        <v>542</v>
      </c>
      <c r="P84" s="27" t="s">
        <v>384</v>
      </c>
      <c r="Q84" s="17" t="s">
        <v>385</v>
      </c>
    </row>
    <row r="85" spans="1:17" ht="24.9" customHeight="1">
      <c r="A85" s="2" t="s">
        <v>16</v>
      </c>
      <c r="B85" s="11" t="s">
        <v>543</v>
      </c>
      <c r="C85" s="9" t="s">
        <v>544</v>
      </c>
      <c r="D85" s="9" t="s">
        <v>545</v>
      </c>
      <c r="E85" s="13" t="s">
        <v>546</v>
      </c>
      <c r="F85" s="13" t="s">
        <v>547</v>
      </c>
      <c r="G85" s="18">
        <v>300</v>
      </c>
      <c r="H85" s="14">
        <f t="shared" si="4"/>
        <v>225</v>
      </c>
      <c r="I85" s="18"/>
      <c r="J85" s="15">
        <f t="shared" si="5"/>
        <v>0</v>
      </c>
      <c r="K85" s="27" t="s">
        <v>548</v>
      </c>
      <c r="L85" s="16" t="str">
        <f t="shared" si="6"/>
        <v>9789868247123</v>
      </c>
      <c r="M85" s="28" t="str">
        <f t="shared" si="7"/>
        <v>https://search.books.com.tw/search/query/key/9789868247123</v>
      </c>
      <c r="N85" s="12" t="s">
        <v>33</v>
      </c>
      <c r="O85" s="12" t="s">
        <v>549</v>
      </c>
      <c r="P85" s="27" t="s">
        <v>25</v>
      </c>
      <c r="Q85" s="17" t="s">
        <v>26</v>
      </c>
    </row>
    <row r="86" spans="1:17" ht="24.9" customHeight="1">
      <c r="A86" s="2" t="s">
        <v>16</v>
      </c>
      <c r="B86" s="11" t="s">
        <v>550</v>
      </c>
      <c r="C86" s="9" t="s">
        <v>551</v>
      </c>
      <c r="D86" s="9" t="s">
        <v>552</v>
      </c>
      <c r="E86" s="13" t="s">
        <v>553</v>
      </c>
      <c r="F86" s="13" t="s">
        <v>554</v>
      </c>
      <c r="G86" s="18">
        <v>250</v>
      </c>
      <c r="H86" s="14">
        <f t="shared" si="4"/>
        <v>188</v>
      </c>
      <c r="I86" s="18"/>
      <c r="J86" s="15">
        <f t="shared" si="5"/>
        <v>0</v>
      </c>
      <c r="K86" s="27" t="s">
        <v>337</v>
      </c>
      <c r="L86" s="16" t="str">
        <f t="shared" si="6"/>
        <v>9789862163566</v>
      </c>
      <c r="M86" s="28" t="str">
        <f t="shared" si="7"/>
        <v>https://search.books.com.tw/search/query/key/9789862163566</v>
      </c>
      <c r="N86" s="12" t="s">
        <v>33</v>
      </c>
      <c r="O86" s="12" t="s">
        <v>493</v>
      </c>
      <c r="P86" s="27" t="s">
        <v>35</v>
      </c>
      <c r="Q86" s="17" t="s">
        <v>36</v>
      </c>
    </row>
    <row r="87" spans="1:17" ht="24.9" customHeight="1">
      <c r="A87" s="2" t="s">
        <v>16</v>
      </c>
      <c r="B87" s="11" t="s">
        <v>555</v>
      </c>
      <c r="C87" s="9" t="s">
        <v>556</v>
      </c>
      <c r="D87" s="9" t="s">
        <v>557</v>
      </c>
      <c r="E87" s="13" t="s">
        <v>558</v>
      </c>
      <c r="F87" s="13" t="s">
        <v>559</v>
      </c>
      <c r="G87" s="18">
        <v>300</v>
      </c>
      <c r="H87" s="14">
        <f t="shared" si="4"/>
        <v>225</v>
      </c>
      <c r="I87" s="18"/>
      <c r="J87" s="15">
        <f t="shared" si="5"/>
        <v>0</v>
      </c>
      <c r="K87" s="27" t="s">
        <v>560</v>
      </c>
      <c r="L87" s="16" t="str">
        <f t="shared" si="6"/>
        <v>9789869443302</v>
      </c>
      <c r="M87" s="28" t="str">
        <f t="shared" si="7"/>
        <v>https://search.books.com.tw/search/query/key/9789869443302</v>
      </c>
      <c r="N87" s="12" t="s">
        <v>33</v>
      </c>
      <c r="O87" s="12" t="s">
        <v>561</v>
      </c>
      <c r="P87" s="27" t="s">
        <v>35</v>
      </c>
      <c r="Q87" s="17" t="s">
        <v>36</v>
      </c>
    </row>
    <row r="88" spans="1:17" ht="24.9" customHeight="1">
      <c r="A88" s="2" t="s">
        <v>16</v>
      </c>
      <c r="B88" s="11" t="s">
        <v>562</v>
      </c>
      <c r="C88" s="9" t="s">
        <v>563</v>
      </c>
      <c r="D88" s="9" t="s">
        <v>564</v>
      </c>
      <c r="E88" s="13" t="s">
        <v>565</v>
      </c>
      <c r="F88" s="13" t="s">
        <v>566</v>
      </c>
      <c r="G88" s="18">
        <v>460</v>
      </c>
      <c r="H88" s="14">
        <f t="shared" si="4"/>
        <v>345</v>
      </c>
      <c r="I88" s="18"/>
      <c r="J88" s="15">
        <f t="shared" si="5"/>
        <v>0</v>
      </c>
      <c r="K88" s="27" t="s">
        <v>567</v>
      </c>
      <c r="L88" s="16" t="str">
        <f t="shared" si="6"/>
        <v>9789571372174</v>
      </c>
      <c r="M88" s="28" t="str">
        <f t="shared" si="7"/>
        <v>https://search.books.com.tw/search/query/key/9789571372174</v>
      </c>
      <c r="N88" s="12" t="s">
        <v>33</v>
      </c>
      <c r="O88" s="12" t="s">
        <v>568</v>
      </c>
      <c r="P88" s="27" t="s">
        <v>35</v>
      </c>
      <c r="Q88" s="17" t="s">
        <v>36</v>
      </c>
    </row>
    <row r="89" spans="1:17" ht="24.9" customHeight="1">
      <c r="A89" s="2" t="s">
        <v>16</v>
      </c>
      <c r="B89" s="11" t="s">
        <v>569</v>
      </c>
      <c r="C89" s="9" t="s">
        <v>570</v>
      </c>
      <c r="D89" s="9"/>
      <c r="E89" s="13" t="s">
        <v>571</v>
      </c>
      <c r="F89" s="13" t="s">
        <v>572</v>
      </c>
      <c r="G89" s="18">
        <v>450</v>
      </c>
      <c r="H89" s="14">
        <f t="shared" si="4"/>
        <v>338</v>
      </c>
      <c r="I89" s="18"/>
      <c r="J89" s="15">
        <f t="shared" si="5"/>
        <v>0</v>
      </c>
      <c r="K89" s="27" t="s">
        <v>296</v>
      </c>
      <c r="L89" s="16" t="str">
        <f t="shared" si="6"/>
        <v>9789866318092</v>
      </c>
      <c r="M89" s="28" t="str">
        <f t="shared" si="7"/>
        <v>https://search.books.com.tw/search/query/key/9789866318092</v>
      </c>
      <c r="N89" s="12" t="s">
        <v>33</v>
      </c>
      <c r="O89" s="12" t="s">
        <v>177</v>
      </c>
      <c r="P89" s="27" t="s">
        <v>35</v>
      </c>
      <c r="Q89" s="17" t="s">
        <v>36</v>
      </c>
    </row>
    <row r="90" spans="1:17" ht="24.9" customHeight="1">
      <c r="A90" s="2" t="s">
        <v>16</v>
      </c>
      <c r="B90" s="11" t="s">
        <v>573</v>
      </c>
      <c r="C90" s="9" t="s">
        <v>574</v>
      </c>
      <c r="D90" s="9" t="s">
        <v>575</v>
      </c>
      <c r="E90" s="13" t="s">
        <v>576</v>
      </c>
      <c r="F90" s="13" t="s">
        <v>577</v>
      </c>
      <c r="G90" s="18">
        <v>350</v>
      </c>
      <c r="H90" s="14">
        <f t="shared" si="4"/>
        <v>263</v>
      </c>
      <c r="I90" s="18"/>
      <c r="J90" s="15">
        <f t="shared" si="5"/>
        <v>0</v>
      </c>
      <c r="K90" s="27" t="s">
        <v>578</v>
      </c>
      <c r="L90" s="16" t="str">
        <f t="shared" si="6"/>
        <v>9789573910282</v>
      </c>
      <c r="M90" s="28" t="str">
        <f t="shared" si="7"/>
        <v>https://search.books.com.tw/search/query/key/9789573910282</v>
      </c>
      <c r="N90" s="12" t="s">
        <v>33</v>
      </c>
      <c r="O90" s="12" t="s">
        <v>34</v>
      </c>
      <c r="P90" s="27" t="s">
        <v>35</v>
      </c>
      <c r="Q90" s="17" t="s">
        <v>65</v>
      </c>
    </row>
    <row r="91" spans="1:17" ht="24.9" customHeight="1">
      <c r="A91" s="2" t="s">
        <v>16</v>
      </c>
      <c r="B91" s="11" t="s">
        <v>579</v>
      </c>
      <c r="C91" s="9" t="s">
        <v>580</v>
      </c>
      <c r="D91" s="9" t="s">
        <v>581</v>
      </c>
      <c r="E91" s="13" t="s">
        <v>582</v>
      </c>
      <c r="F91" s="13" t="s">
        <v>583</v>
      </c>
      <c r="G91" s="18">
        <v>300</v>
      </c>
      <c r="H91" s="14">
        <f t="shared" si="4"/>
        <v>225</v>
      </c>
      <c r="I91" s="18"/>
      <c r="J91" s="15">
        <f t="shared" si="5"/>
        <v>0</v>
      </c>
      <c r="K91" s="27" t="s">
        <v>584</v>
      </c>
      <c r="L91" s="16" t="str">
        <f t="shared" si="6"/>
        <v>9789869300711</v>
      </c>
      <c r="M91" s="28" t="str">
        <f t="shared" si="7"/>
        <v>https://search.books.com.tw/search/query/key/9789869300711</v>
      </c>
      <c r="N91" s="12" t="s">
        <v>43</v>
      </c>
      <c r="O91" s="12" t="s">
        <v>44</v>
      </c>
      <c r="P91" s="27" t="s">
        <v>45</v>
      </c>
      <c r="Q91" s="17" t="s">
        <v>46</v>
      </c>
    </row>
    <row r="92" spans="1:17" ht="24.9" customHeight="1">
      <c r="A92" s="2" t="s">
        <v>16</v>
      </c>
      <c r="B92" s="11" t="s">
        <v>585</v>
      </c>
      <c r="C92" s="9" t="s">
        <v>586</v>
      </c>
      <c r="D92" s="9" t="s">
        <v>587</v>
      </c>
      <c r="E92" s="13" t="s">
        <v>588</v>
      </c>
      <c r="F92" s="13" t="s">
        <v>589</v>
      </c>
      <c r="G92" s="18">
        <v>300</v>
      </c>
      <c r="H92" s="14">
        <f t="shared" si="4"/>
        <v>225</v>
      </c>
      <c r="I92" s="18"/>
      <c r="J92" s="15">
        <f t="shared" si="5"/>
        <v>0</v>
      </c>
      <c r="K92" s="27" t="s">
        <v>245</v>
      </c>
      <c r="L92" s="16" t="str">
        <f t="shared" si="6"/>
        <v>9789869343268</v>
      </c>
      <c r="M92" s="28" t="str">
        <f t="shared" si="7"/>
        <v>https://search.books.com.tw/search/query/key/9789869343268</v>
      </c>
      <c r="N92" s="12" t="s">
        <v>33</v>
      </c>
      <c r="O92" s="12" t="s">
        <v>590</v>
      </c>
      <c r="P92" s="27" t="s">
        <v>384</v>
      </c>
      <c r="Q92" s="17" t="s">
        <v>385</v>
      </c>
    </row>
    <row r="93" spans="1:17" ht="24.9" customHeight="1">
      <c r="A93" s="2" t="s">
        <v>16</v>
      </c>
      <c r="B93" s="11" t="s">
        <v>591</v>
      </c>
      <c r="C93" s="9" t="s">
        <v>592</v>
      </c>
      <c r="D93" s="9" t="s">
        <v>593</v>
      </c>
      <c r="E93" s="13" t="s">
        <v>594</v>
      </c>
      <c r="F93" s="13" t="s">
        <v>595</v>
      </c>
      <c r="G93" s="18">
        <v>460</v>
      </c>
      <c r="H93" s="14">
        <f t="shared" si="4"/>
        <v>345</v>
      </c>
      <c r="I93" s="18"/>
      <c r="J93" s="15">
        <f t="shared" si="5"/>
        <v>0</v>
      </c>
      <c r="K93" s="27" t="s">
        <v>596</v>
      </c>
      <c r="L93" s="16" t="str">
        <f t="shared" si="6"/>
        <v>9786267317419</v>
      </c>
      <c r="M93" s="28" t="str">
        <f t="shared" si="7"/>
        <v>https://search.books.com.tw/search/query/key/9786267317419</v>
      </c>
      <c r="N93" s="12" t="s">
        <v>597</v>
      </c>
      <c r="O93" s="12" t="s">
        <v>493</v>
      </c>
      <c r="P93" s="27" t="s">
        <v>35</v>
      </c>
      <c r="Q93" s="17" t="s">
        <v>598</v>
      </c>
    </row>
    <row r="94" spans="1:17" ht="24.9" customHeight="1">
      <c r="A94" s="2" t="s">
        <v>16</v>
      </c>
      <c r="B94" s="11" t="s">
        <v>599</v>
      </c>
      <c r="C94" s="9" t="s">
        <v>600</v>
      </c>
      <c r="D94" s="9" t="s">
        <v>601</v>
      </c>
      <c r="E94" s="13" t="s">
        <v>602</v>
      </c>
      <c r="F94" s="13" t="s">
        <v>603</v>
      </c>
      <c r="G94" s="18">
        <v>300</v>
      </c>
      <c r="H94" s="14">
        <f t="shared" si="4"/>
        <v>225</v>
      </c>
      <c r="I94" s="18"/>
      <c r="J94" s="15">
        <f t="shared" si="5"/>
        <v>0</v>
      </c>
      <c r="K94" s="27" t="s">
        <v>245</v>
      </c>
      <c r="L94" s="16" t="str">
        <f t="shared" si="6"/>
        <v>9789869690065</v>
      </c>
      <c r="M94" s="28" t="str">
        <f t="shared" si="7"/>
        <v>https://search.books.com.tw/search/query/key/9789869690065</v>
      </c>
      <c r="N94" s="12" t="s">
        <v>43</v>
      </c>
      <c r="O94" s="12" t="s">
        <v>604</v>
      </c>
      <c r="P94" s="27" t="s">
        <v>45</v>
      </c>
      <c r="Q94" s="17" t="s">
        <v>605</v>
      </c>
    </row>
    <row r="95" spans="1:17" ht="24.9" customHeight="1">
      <c r="A95" s="2" t="s">
        <v>16</v>
      </c>
      <c r="B95" s="11" t="s">
        <v>606</v>
      </c>
      <c r="C95" s="9" t="s">
        <v>607</v>
      </c>
      <c r="D95" s="9" t="s">
        <v>608</v>
      </c>
      <c r="E95" s="13" t="s">
        <v>609</v>
      </c>
      <c r="F95" s="13" t="s">
        <v>610</v>
      </c>
      <c r="G95" s="18">
        <v>300</v>
      </c>
      <c r="H95" s="14">
        <f t="shared" si="4"/>
        <v>225</v>
      </c>
      <c r="I95" s="18"/>
      <c r="J95" s="15">
        <f t="shared" si="5"/>
        <v>0</v>
      </c>
      <c r="K95" s="27" t="s">
        <v>125</v>
      </c>
      <c r="L95" s="16" t="str">
        <f t="shared" si="6"/>
        <v>9789574449507</v>
      </c>
      <c r="M95" s="28" t="str">
        <f t="shared" si="7"/>
        <v>https://search.books.com.tw/search/query/key/9789574449507</v>
      </c>
      <c r="N95" s="12" t="s">
        <v>43</v>
      </c>
      <c r="O95" s="12" t="s">
        <v>44</v>
      </c>
      <c r="P95" s="27" t="s">
        <v>45</v>
      </c>
      <c r="Q95" s="17" t="s">
        <v>611</v>
      </c>
    </row>
    <row r="96" spans="1:17" ht="24.9" customHeight="1">
      <c r="A96" s="2" t="s">
        <v>16</v>
      </c>
      <c r="B96" s="11" t="s">
        <v>612</v>
      </c>
      <c r="C96" s="9" t="s">
        <v>613</v>
      </c>
      <c r="D96" s="9" t="s">
        <v>324</v>
      </c>
      <c r="E96" s="13" t="s">
        <v>614</v>
      </c>
      <c r="F96" s="13" t="s">
        <v>405</v>
      </c>
      <c r="G96" s="18">
        <v>350</v>
      </c>
      <c r="H96" s="14">
        <f t="shared" si="4"/>
        <v>263</v>
      </c>
      <c r="I96" s="18"/>
      <c r="J96" s="15">
        <f t="shared" si="5"/>
        <v>0</v>
      </c>
      <c r="K96" s="27" t="s">
        <v>42</v>
      </c>
      <c r="L96" s="16" t="str">
        <f t="shared" si="6"/>
        <v>9789570851786</v>
      </c>
      <c r="M96" s="28" t="str">
        <f t="shared" si="7"/>
        <v>https://search.books.com.tw/search/query/key/9789570851786</v>
      </c>
      <c r="N96" s="12" t="s">
        <v>43</v>
      </c>
      <c r="O96" s="12" t="s">
        <v>44</v>
      </c>
      <c r="P96" s="27" t="s">
        <v>45</v>
      </c>
      <c r="Q96" s="17" t="s">
        <v>46</v>
      </c>
    </row>
    <row r="97" spans="1:17" ht="24.9" customHeight="1">
      <c r="A97" s="2" t="s">
        <v>16</v>
      </c>
      <c r="B97" s="11" t="s">
        <v>615</v>
      </c>
      <c r="C97" s="9" t="s">
        <v>616</v>
      </c>
      <c r="D97" s="9" t="s">
        <v>242</v>
      </c>
      <c r="E97" s="13" t="s">
        <v>617</v>
      </c>
      <c r="F97" s="13" t="s">
        <v>405</v>
      </c>
      <c r="G97" s="18">
        <v>350</v>
      </c>
      <c r="H97" s="14">
        <f t="shared" si="4"/>
        <v>263</v>
      </c>
      <c r="I97" s="18"/>
      <c r="J97" s="15">
        <f t="shared" si="5"/>
        <v>0</v>
      </c>
      <c r="K97" s="27" t="s">
        <v>42</v>
      </c>
      <c r="L97" s="16" t="str">
        <f t="shared" si="6"/>
        <v>9789570851779</v>
      </c>
      <c r="M97" s="28" t="str">
        <f t="shared" si="7"/>
        <v>https://search.books.com.tw/search/query/key/9789570851779</v>
      </c>
      <c r="N97" s="12" t="s">
        <v>43</v>
      </c>
      <c r="O97" s="12" t="s">
        <v>44</v>
      </c>
      <c r="P97" s="27" t="s">
        <v>45</v>
      </c>
      <c r="Q97" s="17" t="s">
        <v>46</v>
      </c>
    </row>
    <row r="98" spans="1:17" ht="24.9" customHeight="1">
      <c r="A98" s="2" t="s">
        <v>16</v>
      </c>
      <c r="B98" s="11" t="s">
        <v>618</v>
      </c>
      <c r="C98" s="9" t="s">
        <v>619</v>
      </c>
      <c r="D98" s="9" t="s">
        <v>620</v>
      </c>
      <c r="E98" s="13" t="s">
        <v>621</v>
      </c>
      <c r="F98" s="13" t="s">
        <v>622</v>
      </c>
      <c r="G98" s="18">
        <v>250</v>
      </c>
      <c r="H98" s="14">
        <f t="shared" si="4"/>
        <v>188</v>
      </c>
      <c r="I98" s="18"/>
      <c r="J98" s="15">
        <f t="shared" si="5"/>
        <v>0</v>
      </c>
      <c r="K98" s="27" t="s">
        <v>430</v>
      </c>
      <c r="L98" s="16" t="str">
        <f t="shared" si="6"/>
        <v>9789575747756</v>
      </c>
      <c r="M98" s="28" t="str">
        <f t="shared" si="7"/>
        <v>https://search.books.com.tw/search/query/key/9789575747756</v>
      </c>
      <c r="N98" s="12" t="s">
        <v>43</v>
      </c>
      <c r="O98" s="12" t="s">
        <v>44</v>
      </c>
      <c r="P98" s="27" t="s">
        <v>45</v>
      </c>
      <c r="Q98" s="17" t="s">
        <v>46</v>
      </c>
    </row>
    <row r="99" spans="1:17" ht="24.9" customHeight="1">
      <c r="A99" s="2" t="s">
        <v>16</v>
      </c>
      <c r="B99" s="11" t="s">
        <v>623</v>
      </c>
      <c r="C99" s="9" t="s">
        <v>624</v>
      </c>
      <c r="D99" s="9" t="s">
        <v>620</v>
      </c>
      <c r="E99" s="13" t="s">
        <v>625</v>
      </c>
      <c r="F99" s="13" t="s">
        <v>626</v>
      </c>
      <c r="G99" s="18">
        <v>260</v>
      </c>
      <c r="H99" s="14">
        <f t="shared" si="4"/>
        <v>195</v>
      </c>
      <c r="I99" s="18"/>
      <c r="J99" s="15">
        <f t="shared" si="5"/>
        <v>0</v>
      </c>
      <c r="K99" s="27" t="s">
        <v>430</v>
      </c>
      <c r="L99" s="16" t="str">
        <f t="shared" si="6"/>
        <v>9789575749040</v>
      </c>
      <c r="M99" s="28" t="str">
        <f t="shared" si="7"/>
        <v>https://search.books.com.tw/search/query/key/9789575749040</v>
      </c>
      <c r="N99" s="12" t="s">
        <v>43</v>
      </c>
      <c r="O99" s="12" t="s">
        <v>44</v>
      </c>
      <c r="P99" s="27" t="s">
        <v>45</v>
      </c>
      <c r="Q99" s="17" t="s">
        <v>46</v>
      </c>
    </row>
    <row r="100" spans="1:17" ht="24.9" customHeight="1">
      <c r="A100" s="2" t="s">
        <v>16</v>
      </c>
      <c r="B100" s="11" t="s">
        <v>627</v>
      </c>
      <c r="C100" s="9" t="s">
        <v>628</v>
      </c>
      <c r="D100" s="9" t="s">
        <v>629</v>
      </c>
      <c r="E100" s="13" t="s">
        <v>630</v>
      </c>
      <c r="F100" s="13" t="s">
        <v>631</v>
      </c>
      <c r="G100" s="18">
        <v>250</v>
      </c>
      <c r="H100" s="14">
        <f t="shared" si="4"/>
        <v>188</v>
      </c>
      <c r="I100" s="18"/>
      <c r="J100" s="15">
        <f t="shared" si="5"/>
        <v>0</v>
      </c>
      <c r="K100" s="27" t="s">
        <v>430</v>
      </c>
      <c r="L100" s="16" t="str">
        <f t="shared" si="6"/>
        <v>9789575748371</v>
      </c>
      <c r="M100" s="28" t="str">
        <f t="shared" si="7"/>
        <v>https://search.books.com.tw/search/query/key/9789575748371</v>
      </c>
      <c r="N100" s="12" t="s">
        <v>43</v>
      </c>
      <c r="O100" s="12" t="s">
        <v>632</v>
      </c>
      <c r="P100" s="27" t="s">
        <v>45</v>
      </c>
      <c r="Q100" s="17" t="s">
        <v>46</v>
      </c>
    </row>
    <row r="101" spans="1:17" ht="24.9" customHeight="1">
      <c r="A101" s="2" t="s">
        <v>16</v>
      </c>
      <c r="B101" s="11" t="s">
        <v>633</v>
      </c>
      <c r="C101" s="9" t="s">
        <v>634</v>
      </c>
      <c r="D101" s="9" t="s">
        <v>635</v>
      </c>
      <c r="E101" s="13" t="s">
        <v>636</v>
      </c>
      <c r="F101" s="13" t="s">
        <v>637</v>
      </c>
      <c r="G101" s="18">
        <v>320</v>
      </c>
      <c r="H101" s="14">
        <f t="shared" si="4"/>
        <v>240</v>
      </c>
      <c r="I101" s="18"/>
      <c r="J101" s="15">
        <f t="shared" si="5"/>
        <v>0</v>
      </c>
      <c r="K101" s="27" t="s">
        <v>638</v>
      </c>
      <c r="L101" s="16" t="str">
        <f t="shared" si="6"/>
        <v>9789865923228</v>
      </c>
      <c r="M101" s="28" t="str">
        <f t="shared" si="7"/>
        <v>https://search.books.com.tw/search/query/key/9789865923228</v>
      </c>
      <c r="N101" s="12" t="s">
        <v>33</v>
      </c>
      <c r="O101" s="12" t="s">
        <v>34</v>
      </c>
      <c r="P101" s="27" t="s">
        <v>35</v>
      </c>
      <c r="Q101" s="17" t="s">
        <v>36</v>
      </c>
    </row>
    <row r="102" spans="1:17" ht="24.9" customHeight="1">
      <c r="A102" s="2" t="s">
        <v>16</v>
      </c>
      <c r="B102" s="11" t="s">
        <v>639</v>
      </c>
      <c r="C102" s="9" t="s">
        <v>640</v>
      </c>
      <c r="D102" s="9" t="s">
        <v>641</v>
      </c>
      <c r="E102" s="13" t="s">
        <v>642</v>
      </c>
      <c r="F102" s="13" t="s">
        <v>643</v>
      </c>
      <c r="G102" s="18">
        <v>400</v>
      </c>
      <c r="H102" s="14">
        <f t="shared" si="4"/>
        <v>300</v>
      </c>
      <c r="I102" s="18"/>
      <c r="J102" s="15">
        <f t="shared" si="5"/>
        <v>0</v>
      </c>
      <c r="K102" s="27" t="s">
        <v>644</v>
      </c>
      <c r="L102" s="16" t="str">
        <f t="shared" si="6"/>
        <v>9789865964788</v>
      </c>
      <c r="M102" s="28" t="str">
        <f t="shared" si="7"/>
        <v>https://search.books.com.tw/search/query/key/9789865964788</v>
      </c>
      <c r="N102" s="12" t="s">
        <v>33</v>
      </c>
      <c r="O102" s="12" t="s">
        <v>645</v>
      </c>
      <c r="P102" s="27" t="s">
        <v>25</v>
      </c>
      <c r="Q102" s="17" t="s">
        <v>26</v>
      </c>
    </row>
    <row r="103" spans="1:17" ht="24.9" customHeight="1">
      <c r="A103" s="2" t="s">
        <v>16</v>
      </c>
      <c r="B103" s="11" t="s">
        <v>646</v>
      </c>
      <c r="C103" s="9" t="s">
        <v>647</v>
      </c>
      <c r="D103" s="9" t="s">
        <v>648</v>
      </c>
      <c r="E103" s="13" t="s">
        <v>649</v>
      </c>
      <c r="F103" s="13" t="s">
        <v>650</v>
      </c>
      <c r="G103" s="18">
        <v>320</v>
      </c>
      <c r="H103" s="14">
        <f t="shared" si="4"/>
        <v>240</v>
      </c>
      <c r="I103" s="18"/>
      <c r="J103" s="15">
        <f t="shared" si="5"/>
        <v>0</v>
      </c>
      <c r="K103" s="27" t="s">
        <v>80</v>
      </c>
      <c r="L103" s="16" t="str">
        <f t="shared" si="6"/>
        <v>9789862940402</v>
      </c>
      <c r="M103" s="28" t="str">
        <f t="shared" si="7"/>
        <v>https://search.books.com.tw/search/query/key/9789862940402</v>
      </c>
      <c r="N103" s="12" t="s">
        <v>33</v>
      </c>
      <c r="O103" s="12" t="s">
        <v>651</v>
      </c>
      <c r="P103" s="27" t="s">
        <v>73</v>
      </c>
      <c r="Q103" s="17" t="s">
        <v>26</v>
      </c>
    </row>
    <row r="104" spans="1:17" ht="24.9" customHeight="1">
      <c r="A104" s="2" t="s">
        <v>16</v>
      </c>
      <c r="B104" s="11" t="s">
        <v>652</v>
      </c>
      <c r="C104" s="9" t="s">
        <v>653</v>
      </c>
      <c r="D104" s="9" t="s">
        <v>324</v>
      </c>
      <c r="E104" s="13" t="s">
        <v>654</v>
      </c>
      <c r="F104" s="13" t="s">
        <v>655</v>
      </c>
      <c r="G104" s="18">
        <v>990</v>
      </c>
      <c r="H104" s="14">
        <f t="shared" si="4"/>
        <v>743</v>
      </c>
      <c r="I104" s="18"/>
      <c r="J104" s="15">
        <f t="shared" si="5"/>
        <v>0</v>
      </c>
      <c r="K104" s="27" t="s">
        <v>42</v>
      </c>
      <c r="L104" s="16" t="str">
        <f t="shared" si="6"/>
        <v>9789570853261</v>
      </c>
      <c r="M104" s="28" t="str">
        <f t="shared" si="7"/>
        <v>https://search.books.com.tw/search/query/key/9789570853261</v>
      </c>
      <c r="N104" s="12" t="s">
        <v>33</v>
      </c>
      <c r="O104" s="12" t="s">
        <v>656</v>
      </c>
      <c r="P104" s="27" t="s">
        <v>393</v>
      </c>
      <c r="Q104" s="17" t="s">
        <v>394</v>
      </c>
    </row>
    <row r="105" spans="1:17" ht="24.9" customHeight="1">
      <c r="A105" s="2" t="s">
        <v>16</v>
      </c>
      <c r="B105" s="11" t="s">
        <v>657</v>
      </c>
      <c r="C105" s="9" t="s">
        <v>658</v>
      </c>
      <c r="D105" s="9" t="s">
        <v>659</v>
      </c>
      <c r="E105" s="13" t="s">
        <v>660</v>
      </c>
      <c r="F105" s="13" t="s">
        <v>661</v>
      </c>
      <c r="G105" s="18">
        <v>300</v>
      </c>
      <c r="H105" s="14">
        <f t="shared" si="4"/>
        <v>225</v>
      </c>
      <c r="I105" s="18"/>
      <c r="J105" s="15">
        <f t="shared" si="5"/>
        <v>0</v>
      </c>
      <c r="K105" s="27" t="s">
        <v>662</v>
      </c>
      <c r="L105" s="16" t="str">
        <f t="shared" si="6"/>
        <v>9789862745236</v>
      </c>
      <c r="M105" s="28" t="str">
        <f t="shared" si="7"/>
        <v>https://search.books.com.tw/search/query/key/9789862745236</v>
      </c>
      <c r="N105" s="12" t="s">
        <v>522</v>
      </c>
      <c r="O105" s="12"/>
      <c r="P105" s="27" t="s">
        <v>35</v>
      </c>
      <c r="Q105" s="17" t="s">
        <v>663</v>
      </c>
    </row>
    <row r="106" spans="1:17" ht="24.9" customHeight="1">
      <c r="A106" s="2" t="s">
        <v>16</v>
      </c>
      <c r="B106" s="11" t="s">
        <v>664</v>
      </c>
      <c r="C106" s="9" t="s">
        <v>665</v>
      </c>
      <c r="D106" s="9" t="s">
        <v>666</v>
      </c>
      <c r="E106" s="13" t="s">
        <v>667</v>
      </c>
      <c r="F106" s="13" t="s">
        <v>668</v>
      </c>
      <c r="G106" s="18">
        <v>300</v>
      </c>
      <c r="H106" s="14">
        <f t="shared" si="4"/>
        <v>225</v>
      </c>
      <c r="I106" s="18"/>
      <c r="J106" s="15">
        <f t="shared" si="5"/>
        <v>0</v>
      </c>
      <c r="K106" s="27" t="s">
        <v>669</v>
      </c>
      <c r="L106" s="16" t="str">
        <f t="shared" si="6"/>
        <v>9789865983055</v>
      </c>
      <c r="M106" s="28" t="str">
        <f t="shared" si="7"/>
        <v>https://search.books.com.tw/search/query/key/9789865983055</v>
      </c>
      <c r="N106" s="12" t="s">
        <v>33</v>
      </c>
      <c r="O106" s="12" t="s">
        <v>274</v>
      </c>
      <c r="P106" s="27" t="s">
        <v>25</v>
      </c>
      <c r="Q106" s="17" t="s">
        <v>26</v>
      </c>
    </row>
    <row r="107" spans="1:17" ht="24.9" customHeight="1">
      <c r="A107" s="2" t="s">
        <v>16</v>
      </c>
      <c r="B107" s="11" t="s">
        <v>670</v>
      </c>
      <c r="C107" s="9" t="s">
        <v>671</v>
      </c>
      <c r="D107" s="9" t="s">
        <v>672</v>
      </c>
      <c r="E107" s="13" t="s">
        <v>673</v>
      </c>
      <c r="F107" s="13" t="s">
        <v>674</v>
      </c>
      <c r="G107" s="18">
        <v>320</v>
      </c>
      <c r="H107" s="14">
        <f t="shared" si="4"/>
        <v>240</v>
      </c>
      <c r="I107" s="18"/>
      <c r="J107" s="15">
        <f t="shared" si="5"/>
        <v>0</v>
      </c>
      <c r="K107" s="27" t="s">
        <v>675</v>
      </c>
      <c r="L107" s="16" t="str">
        <f t="shared" si="6"/>
        <v>9786267069790</v>
      </c>
      <c r="M107" s="28" t="str">
        <f t="shared" si="7"/>
        <v>https://search.books.com.tw/search/query/key/9786267069790</v>
      </c>
      <c r="N107" s="12" t="s">
        <v>343</v>
      </c>
      <c r="O107" s="12" t="s">
        <v>676</v>
      </c>
      <c r="P107" s="27" t="s">
        <v>45</v>
      </c>
      <c r="Q107" s="17" t="s">
        <v>677</v>
      </c>
    </row>
    <row r="108" spans="1:17" ht="24.9" customHeight="1">
      <c r="A108" s="2" t="s">
        <v>16</v>
      </c>
      <c r="B108" s="11" t="s">
        <v>678</v>
      </c>
      <c r="C108" s="9" t="s">
        <v>679</v>
      </c>
      <c r="D108" s="9" t="s">
        <v>680</v>
      </c>
      <c r="E108" s="13" t="s">
        <v>681</v>
      </c>
      <c r="F108" s="13" t="s">
        <v>682</v>
      </c>
      <c r="G108" s="18">
        <v>490</v>
      </c>
      <c r="H108" s="14">
        <f t="shared" si="4"/>
        <v>368</v>
      </c>
      <c r="I108" s="18"/>
      <c r="J108" s="15">
        <f t="shared" si="5"/>
        <v>0</v>
      </c>
      <c r="K108" s="27" t="s">
        <v>683</v>
      </c>
      <c r="L108" s="16" t="str">
        <f t="shared" si="6"/>
        <v>9786267336281</v>
      </c>
      <c r="M108" s="28" t="str">
        <f t="shared" si="7"/>
        <v>https://search.books.com.tw/search/query/key/9786267336281</v>
      </c>
      <c r="N108" s="12" t="s">
        <v>33</v>
      </c>
      <c r="O108" s="12" t="s">
        <v>274</v>
      </c>
      <c r="P108" s="27" t="s">
        <v>25</v>
      </c>
      <c r="Q108" s="17" t="s">
        <v>684</v>
      </c>
    </row>
    <row r="109" spans="1:17" ht="24.9" customHeight="1">
      <c r="A109" s="2" t="s">
        <v>16</v>
      </c>
      <c r="B109" s="11" t="s">
        <v>685</v>
      </c>
      <c r="C109" s="9" t="s">
        <v>686</v>
      </c>
      <c r="D109" s="9" t="s">
        <v>687</v>
      </c>
      <c r="E109" s="13" t="s">
        <v>688</v>
      </c>
      <c r="F109" s="13" t="s">
        <v>689</v>
      </c>
      <c r="G109" s="18">
        <v>300</v>
      </c>
      <c r="H109" s="14">
        <f t="shared" si="4"/>
        <v>225</v>
      </c>
      <c r="I109" s="18"/>
      <c r="J109" s="15">
        <f t="shared" si="5"/>
        <v>0</v>
      </c>
      <c r="K109" s="27" t="s">
        <v>690</v>
      </c>
      <c r="L109" s="16" t="str">
        <f t="shared" si="6"/>
        <v>9789866745973</v>
      </c>
      <c r="M109" s="28" t="str">
        <f t="shared" si="7"/>
        <v>https://search.books.com.tw/search/query/key/9789866745973</v>
      </c>
      <c r="N109" s="12" t="s">
        <v>33</v>
      </c>
      <c r="O109" s="12" t="s">
        <v>691</v>
      </c>
      <c r="P109" s="27" t="s">
        <v>35</v>
      </c>
      <c r="Q109" s="17" t="s">
        <v>36</v>
      </c>
    </row>
    <row r="110" spans="1:17" ht="24.9" customHeight="1">
      <c r="A110" s="2" t="s">
        <v>16</v>
      </c>
      <c r="B110" s="11" t="s">
        <v>692</v>
      </c>
      <c r="C110" s="9" t="s">
        <v>693</v>
      </c>
      <c r="D110" s="9" t="s">
        <v>694</v>
      </c>
      <c r="E110" s="13" t="s">
        <v>695</v>
      </c>
      <c r="F110" s="13" t="s">
        <v>696</v>
      </c>
      <c r="G110" s="18">
        <v>600</v>
      </c>
      <c r="H110" s="14">
        <f t="shared" si="4"/>
        <v>450</v>
      </c>
      <c r="I110" s="18"/>
      <c r="J110" s="15">
        <f t="shared" si="5"/>
        <v>0</v>
      </c>
      <c r="K110" s="27" t="s">
        <v>697</v>
      </c>
      <c r="L110" s="16" t="str">
        <f t="shared" si="6"/>
        <v>9789864083558</v>
      </c>
      <c r="M110" s="28" t="str">
        <f t="shared" si="7"/>
        <v>https://search.books.com.tw/search/query/key/9789864083558</v>
      </c>
      <c r="N110" s="12" t="s">
        <v>33</v>
      </c>
      <c r="O110" s="12" t="s">
        <v>698</v>
      </c>
      <c r="P110" s="27" t="s">
        <v>73</v>
      </c>
      <c r="Q110" s="17" t="s">
        <v>74</v>
      </c>
    </row>
    <row r="111" spans="1:17" ht="24.9" customHeight="1">
      <c r="A111" s="2" t="s">
        <v>16</v>
      </c>
      <c r="B111" s="11" t="s">
        <v>699</v>
      </c>
      <c r="C111" s="9" t="s">
        <v>700</v>
      </c>
      <c r="D111" s="9" t="s">
        <v>701</v>
      </c>
      <c r="E111" s="13" t="s">
        <v>702</v>
      </c>
      <c r="F111" s="13" t="s">
        <v>703</v>
      </c>
      <c r="G111" s="18">
        <v>450</v>
      </c>
      <c r="H111" s="14">
        <f t="shared" si="4"/>
        <v>338</v>
      </c>
      <c r="I111" s="18"/>
      <c r="J111" s="15">
        <f t="shared" si="5"/>
        <v>0</v>
      </c>
      <c r="K111" s="27" t="s">
        <v>704</v>
      </c>
      <c r="L111" s="16" t="str">
        <f t="shared" si="6"/>
        <v>9786263189348</v>
      </c>
      <c r="M111" s="28" t="str">
        <f t="shared" si="7"/>
        <v>https://search.books.com.tw/search/query/key/9786263189348</v>
      </c>
      <c r="N111" s="12" t="s">
        <v>33</v>
      </c>
      <c r="O111" s="12" t="s">
        <v>705</v>
      </c>
      <c r="P111" s="27" t="s">
        <v>35</v>
      </c>
      <c r="Q111" s="17" t="s">
        <v>706</v>
      </c>
    </row>
    <row r="112" spans="1:17" ht="24.9" customHeight="1">
      <c r="A112" s="2" t="s">
        <v>16</v>
      </c>
      <c r="B112" s="11" t="s">
        <v>707</v>
      </c>
      <c r="C112" s="9" t="s">
        <v>708</v>
      </c>
      <c r="D112" s="9" t="s">
        <v>427</v>
      </c>
      <c r="E112" s="13" t="s">
        <v>709</v>
      </c>
      <c r="F112" s="13" t="s">
        <v>710</v>
      </c>
      <c r="G112" s="18">
        <v>380</v>
      </c>
      <c r="H112" s="14">
        <f t="shared" si="4"/>
        <v>285</v>
      </c>
      <c r="I112" s="18"/>
      <c r="J112" s="15">
        <f t="shared" si="5"/>
        <v>0</v>
      </c>
      <c r="K112" s="27" t="s">
        <v>711</v>
      </c>
      <c r="L112" s="16" t="str">
        <f t="shared" si="6"/>
        <v>9789577519337</v>
      </c>
      <c r="M112" s="28" t="str">
        <f t="shared" si="7"/>
        <v>https://search.books.com.tw/search/query/key/9789577519337</v>
      </c>
      <c r="N112" s="12" t="s">
        <v>23</v>
      </c>
      <c r="O112" s="12" t="s">
        <v>712</v>
      </c>
      <c r="P112" s="27" t="s">
        <v>45</v>
      </c>
      <c r="Q112" s="17" t="s">
        <v>713</v>
      </c>
    </row>
    <row r="113" spans="1:17" ht="24.9" customHeight="1">
      <c r="A113" s="2" t="s">
        <v>16</v>
      </c>
      <c r="B113" s="11" t="s">
        <v>714</v>
      </c>
      <c r="C113" s="9" t="s">
        <v>715</v>
      </c>
      <c r="D113" s="9" t="s">
        <v>716</v>
      </c>
      <c r="E113" s="13" t="s">
        <v>717</v>
      </c>
      <c r="F113" s="13" t="s">
        <v>718</v>
      </c>
      <c r="G113" s="18">
        <v>350</v>
      </c>
      <c r="H113" s="14">
        <f t="shared" si="4"/>
        <v>263</v>
      </c>
      <c r="I113" s="18"/>
      <c r="J113" s="15">
        <f t="shared" si="5"/>
        <v>0</v>
      </c>
      <c r="K113" s="27" t="s">
        <v>719</v>
      </c>
      <c r="L113" s="16" t="str">
        <f t="shared" si="6"/>
        <v>9789574495320</v>
      </c>
      <c r="M113" s="28" t="str">
        <f t="shared" si="7"/>
        <v>https://search.books.com.tw/search/query/key/9789574495320</v>
      </c>
      <c r="N113" s="12" t="s">
        <v>43</v>
      </c>
      <c r="O113" s="12" t="s">
        <v>297</v>
      </c>
      <c r="P113" s="27" t="s">
        <v>25</v>
      </c>
      <c r="Q113" s="17" t="s">
        <v>26</v>
      </c>
    </row>
    <row r="114" spans="1:17" ht="24.9" customHeight="1">
      <c r="A114" s="2" t="s">
        <v>16</v>
      </c>
      <c r="B114" s="11" t="s">
        <v>720</v>
      </c>
      <c r="C114" s="9" t="s">
        <v>721</v>
      </c>
      <c r="D114" s="9" t="s">
        <v>722</v>
      </c>
      <c r="E114" s="13" t="s">
        <v>723</v>
      </c>
      <c r="F114" s="13" t="s">
        <v>724</v>
      </c>
      <c r="G114" s="18">
        <v>380</v>
      </c>
      <c r="H114" s="14">
        <f t="shared" si="4"/>
        <v>285</v>
      </c>
      <c r="I114" s="18"/>
      <c r="J114" s="15">
        <f t="shared" si="5"/>
        <v>0</v>
      </c>
      <c r="K114" s="27" t="s">
        <v>725</v>
      </c>
      <c r="L114" s="16" t="str">
        <f t="shared" si="6"/>
        <v>9789866433108</v>
      </c>
      <c r="M114" s="28" t="str">
        <f t="shared" si="7"/>
        <v>https://search.books.com.tw/search/query/key/9789866433108</v>
      </c>
      <c r="N114" s="12" t="s">
        <v>33</v>
      </c>
      <c r="O114" s="12" t="s">
        <v>107</v>
      </c>
      <c r="P114" s="27" t="s">
        <v>35</v>
      </c>
      <c r="Q114" s="17" t="s">
        <v>36</v>
      </c>
    </row>
    <row r="115" spans="1:17" ht="24.9" customHeight="1">
      <c r="A115" s="2" t="s">
        <v>16</v>
      </c>
      <c r="B115" s="11" t="s">
        <v>726</v>
      </c>
      <c r="C115" s="9" t="s">
        <v>727</v>
      </c>
      <c r="D115" s="9" t="s">
        <v>728</v>
      </c>
      <c r="E115" s="13" t="s">
        <v>729</v>
      </c>
      <c r="F115" s="13" t="s">
        <v>730</v>
      </c>
      <c r="G115" s="18">
        <v>360</v>
      </c>
      <c r="H115" s="14">
        <f t="shared" si="4"/>
        <v>270</v>
      </c>
      <c r="I115" s="18"/>
      <c r="J115" s="15">
        <f t="shared" si="5"/>
        <v>0</v>
      </c>
      <c r="K115" s="27" t="s">
        <v>32</v>
      </c>
      <c r="L115" s="16" t="str">
        <f t="shared" si="6"/>
        <v>9789573274834</v>
      </c>
      <c r="M115" s="28" t="str">
        <f t="shared" si="7"/>
        <v>https://search.books.com.tw/search/query/key/9789573274834</v>
      </c>
      <c r="N115" s="12" t="s">
        <v>43</v>
      </c>
      <c r="O115" s="12" t="s">
        <v>274</v>
      </c>
      <c r="P115" s="27" t="s">
        <v>25</v>
      </c>
      <c r="Q115" s="17" t="s">
        <v>275</v>
      </c>
    </row>
    <row r="116" spans="1:17" ht="24.9" customHeight="1">
      <c r="A116" s="2" t="s">
        <v>16</v>
      </c>
      <c r="B116" s="11" t="s">
        <v>731</v>
      </c>
      <c r="C116" s="9" t="s">
        <v>732</v>
      </c>
      <c r="D116" s="9" t="s">
        <v>733</v>
      </c>
      <c r="E116" s="13" t="s">
        <v>734</v>
      </c>
      <c r="F116" s="13" t="s">
        <v>735</v>
      </c>
      <c r="G116" s="18">
        <v>480</v>
      </c>
      <c r="H116" s="14">
        <f t="shared" si="4"/>
        <v>360</v>
      </c>
      <c r="I116" s="18"/>
      <c r="J116" s="15">
        <f t="shared" si="5"/>
        <v>0</v>
      </c>
      <c r="K116" s="27" t="s">
        <v>337</v>
      </c>
      <c r="L116" s="16" t="str">
        <f t="shared" si="6"/>
        <v>9786263559813</v>
      </c>
      <c r="M116" s="28" t="str">
        <f t="shared" si="7"/>
        <v>https://search.books.com.tw/search/query/key/9786263559813</v>
      </c>
      <c r="N116" s="12" t="s">
        <v>343</v>
      </c>
      <c r="O116" s="12" t="s">
        <v>238</v>
      </c>
      <c r="P116" s="27" t="s">
        <v>45</v>
      </c>
      <c r="Q116" s="17" t="s">
        <v>677</v>
      </c>
    </row>
    <row r="117" spans="1:17" ht="24.9" customHeight="1">
      <c r="A117" s="2" t="s">
        <v>16</v>
      </c>
      <c r="B117" s="11" t="s">
        <v>736</v>
      </c>
      <c r="C117" s="9" t="s">
        <v>737</v>
      </c>
      <c r="D117" s="9" t="s">
        <v>738</v>
      </c>
      <c r="E117" s="13" t="s">
        <v>739</v>
      </c>
      <c r="F117" s="13" t="s">
        <v>740</v>
      </c>
      <c r="G117" s="18">
        <v>260</v>
      </c>
      <c r="H117" s="14">
        <f t="shared" si="4"/>
        <v>195</v>
      </c>
      <c r="I117" s="18"/>
      <c r="J117" s="15">
        <f t="shared" si="5"/>
        <v>0</v>
      </c>
      <c r="K117" s="27" t="s">
        <v>125</v>
      </c>
      <c r="L117" s="16" t="str">
        <f t="shared" si="6"/>
        <v>9789864501397</v>
      </c>
      <c r="M117" s="28" t="str">
        <f t="shared" si="7"/>
        <v>https://search.books.com.tw/search/query/key/9789864501397</v>
      </c>
      <c r="N117" s="12" t="s">
        <v>43</v>
      </c>
      <c r="O117" s="12" t="s">
        <v>44</v>
      </c>
      <c r="P117" s="27" t="s">
        <v>45</v>
      </c>
      <c r="Q117" s="17" t="s">
        <v>611</v>
      </c>
    </row>
    <row r="118" spans="1:17" ht="24.9" customHeight="1">
      <c r="A118" s="2" t="s">
        <v>16</v>
      </c>
      <c r="B118" s="11" t="s">
        <v>741</v>
      </c>
      <c r="C118" s="9" t="s">
        <v>742</v>
      </c>
      <c r="D118" s="9" t="s">
        <v>743</v>
      </c>
      <c r="E118" s="13" t="s">
        <v>744</v>
      </c>
      <c r="F118" s="13" t="s">
        <v>745</v>
      </c>
      <c r="G118" s="18">
        <v>450</v>
      </c>
      <c r="H118" s="14">
        <f t="shared" si="4"/>
        <v>338</v>
      </c>
      <c r="I118" s="18"/>
      <c r="J118" s="15">
        <f t="shared" si="5"/>
        <v>0</v>
      </c>
      <c r="K118" s="27" t="s">
        <v>80</v>
      </c>
      <c r="L118" s="16" t="str">
        <f t="shared" si="6"/>
        <v>9789862943175</v>
      </c>
      <c r="M118" s="28" t="str">
        <f t="shared" si="7"/>
        <v>https://search.books.com.tw/search/query/key/9789862943175</v>
      </c>
      <c r="N118" s="12" t="s">
        <v>343</v>
      </c>
      <c r="O118" s="12" t="s">
        <v>746</v>
      </c>
      <c r="P118" s="27" t="s">
        <v>45</v>
      </c>
      <c r="Q118" s="17" t="s">
        <v>523</v>
      </c>
    </row>
    <row r="119" spans="1:17" ht="24.9" customHeight="1">
      <c r="A119" s="2" t="s">
        <v>16</v>
      </c>
      <c r="B119" s="11" t="s">
        <v>747</v>
      </c>
      <c r="C119" s="9" t="s">
        <v>748</v>
      </c>
      <c r="D119" s="9" t="s">
        <v>749</v>
      </c>
      <c r="E119" s="13" t="s">
        <v>750</v>
      </c>
      <c r="F119" s="13" t="s">
        <v>751</v>
      </c>
      <c r="G119" s="18">
        <v>350</v>
      </c>
      <c r="H119" s="14">
        <f t="shared" si="4"/>
        <v>263</v>
      </c>
      <c r="I119" s="18"/>
      <c r="J119" s="15">
        <f t="shared" si="5"/>
        <v>0</v>
      </c>
      <c r="K119" s="27" t="s">
        <v>349</v>
      </c>
      <c r="L119" s="16" t="str">
        <f t="shared" si="6"/>
        <v>9786263206014</v>
      </c>
      <c r="M119" s="28" t="str">
        <f t="shared" si="7"/>
        <v>https://search.books.com.tw/search/query/key/9786263206014</v>
      </c>
      <c r="N119" s="12" t="s">
        <v>522</v>
      </c>
      <c r="O119" s="12" t="s">
        <v>752</v>
      </c>
      <c r="P119" s="27" t="s">
        <v>25</v>
      </c>
      <c r="Q119" s="17" t="s">
        <v>753</v>
      </c>
    </row>
    <row r="120" spans="1:17" ht="24.9" customHeight="1">
      <c r="A120" s="2" t="s">
        <v>16</v>
      </c>
      <c r="B120" s="11" t="s">
        <v>754</v>
      </c>
      <c r="C120" s="9" t="s">
        <v>755</v>
      </c>
      <c r="D120" s="9" t="s">
        <v>756</v>
      </c>
      <c r="E120" s="13" t="s">
        <v>757</v>
      </c>
      <c r="F120" s="13" t="s">
        <v>758</v>
      </c>
      <c r="G120" s="18">
        <v>350</v>
      </c>
      <c r="H120" s="14">
        <f t="shared" si="4"/>
        <v>263</v>
      </c>
      <c r="I120" s="18"/>
      <c r="J120" s="15">
        <f t="shared" si="5"/>
        <v>0</v>
      </c>
      <c r="K120" s="27" t="s">
        <v>32</v>
      </c>
      <c r="L120" s="16" t="str">
        <f t="shared" si="6"/>
        <v>9789573265658</v>
      </c>
      <c r="M120" s="28" t="str">
        <f t="shared" si="7"/>
        <v>https://search.books.com.tw/search/query/key/9789573265658</v>
      </c>
      <c r="N120" s="12" t="s">
        <v>33</v>
      </c>
      <c r="O120" s="12" t="s">
        <v>759</v>
      </c>
      <c r="P120" s="27" t="s">
        <v>73</v>
      </c>
      <c r="Q120" s="17" t="s">
        <v>26</v>
      </c>
    </row>
    <row r="121" spans="1:17" ht="24.9" customHeight="1">
      <c r="A121" s="2" t="s">
        <v>16</v>
      </c>
      <c r="B121" s="11" t="s">
        <v>760</v>
      </c>
      <c r="C121" s="9" t="s">
        <v>761</v>
      </c>
      <c r="D121" s="9" t="s">
        <v>762</v>
      </c>
      <c r="E121" s="13" t="s">
        <v>763</v>
      </c>
      <c r="F121" s="13" t="s">
        <v>764</v>
      </c>
      <c r="G121" s="18">
        <v>350</v>
      </c>
      <c r="H121" s="14">
        <f t="shared" si="4"/>
        <v>263</v>
      </c>
      <c r="I121" s="18"/>
      <c r="J121" s="15">
        <f t="shared" si="5"/>
        <v>0</v>
      </c>
      <c r="K121" s="27" t="s">
        <v>32</v>
      </c>
      <c r="L121" s="16" t="str">
        <f t="shared" si="6"/>
        <v>9789573267133</v>
      </c>
      <c r="M121" s="28" t="str">
        <f t="shared" si="7"/>
        <v>https://search.books.com.tw/search/query/key/9789573267133</v>
      </c>
      <c r="N121" s="12" t="s">
        <v>43</v>
      </c>
      <c r="O121" s="12" t="s">
        <v>274</v>
      </c>
      <c r="P121" s="27" t="s">
        <v>25</v>
      </c>
      <c r="Q121" s="17" t="s">
        <v>26</v>
      </c>
    </row>
    <row r="122" spans="1:17" ht="24.9" customHeight="1">
      <c r="A122" s="2" t="s">
        <v>16</v>
      </c>
      <c r="B122" s="11" t="s">
        <v>765</v>
      </c>
      <c r="C122" s="9" t="s">
        <v>766</v>
      </c>
      <c r="D122" s="9" t="s">
        <v>767</v>
      </c>
      <c r="E122" s="13" t="s">
        <v>768</v>
      </c>
      <c r="F122" s="13" t="s">
        <v>769</v>
      </c>
      <c r="G122" s="18">
        <v>480</v>
      </c>
      <c r="H122" s="14">
        <f t="shared" si="4"/>
        <v>360</v>
      </c>
      <c r="I122" s="18"/>
      <c r="J122" s="15">
        <f t="shared" si="5"/>
        <v>0</v>
      </c>
      <c r="K122" s="27" t="s">
        <v>770</v>
      </c>
      <c r="L122" s="16" t="str">
        <f t="shared" si="6"/>
        <v>9789863984061</v>
      </c>
      <c r="M122" s="28" t="str">
        <f t="shared" si="7"/>
        <v>https://search.books.com.tw/search/query/key/9789863984061</v>
      </c>
      <c r="N122" s="12" t="s">
        <v>33</v>
      </c>
      <c r="O122" s="12" t="s">
        <v>107</v>
      </c>
      <c r="P122" s="27" t="s">
        <v>35</v>
      </c>
      <c r="Q122" s="17" t="s">
        <v>36</v>
      </c>
    </row>
    <row r="123" spans="1:17" ht="24.9" customHeight="1">
      <c r="A123" s="2" t="s">
        <v>16</v>
      </c>
      <c r="B123" s="11" t="s">
        <v>771</v>
      </c>
      <c r="C123" s="9" t="s">
        <v>772</v>
      </c>
      <c r="D123" s="9" t="s">
        <v>767</v>
      </c>
      <c r="E123" s="13" t="s">
        <v>773</v>
      </c>
      <c r="F123" s="13" t="s">
        <v>769</v>
      </c>
      <c r="G123" s="18">
        <v>480</v>
      </c>
      <c r="H123" s="14">
        <f t="shared" si="4"/>
        <v>360</v>
      </c>
      <c r="I123" s="18"/>
      <c r="J123" s="15">
        <f t="shared" si="5"/>
        <v>0</v>
      </c>
      <c r="K123" s="27" t="s">
        <v>770</v>
      </c>
      <c r="L123" s="16" t="str">
        <f t="shared" si="6"/>
        <v>9789863984078</v>
      </c>
      <c r="M123" s="28" t="str">
        <f t="shared" si="7"/>
        <v>https://search.books.com.tw/search/query/key/9789863984078</v>
      </c>
      <c r="N123" s="12" t="s">
        <v>33</v>
      </c>
      <c r="O123" s="12" t="s">
        <v>107</v>
      </c>
      <c r="P123" s="27" t="s">
        <v>35</v>
      </c>
      <c r="Q123" s="17" t="s">
        <v>36</v>
      </c>
    </row>
    <row r="124" spans="1:17" ht="24.9" customHeight="1">
      <c r="A124" s="2" t="s">
        <v>16</v>
      </c>
      <c r="B124" s="11" t="s">
        <v>774</v>
      </c>
      <c r="C124" s="9" t="s">
        <v>775</v>
      </c>
      <c r="D124" s="9" t="s">
        <v>767</v>
      </c>
      <c r="E124" s="13" t="s">
        <v>776</v>
      </c>
      <c r="F124" s="13" t="s">
        <v>769</v>
      </c>
      <c r="G124" s="18">
        <v>480</v>
      </c>
      <c r="H124" s="14">
        <f t="shared" si="4"/>
        <v>360</v>
      </c>
      <c r="I124" s="18"/>
      <c r="J124" s="15">
        <f t="shared" si="5"/>
        <v>0</v>
      </c>
      <c r="K124" s="27" t="s">
        <v>770</v>
      </c>
      <c r="L124" s="16" t="str">
        <f t="shared" si="6"/>
        <v>9789863984085</v>
      </c>
      <c r="M124" s="28" t="str">
        <f t="shared" si="7"/>
        <v>https://search.books.com.tw/search/query/key/9789863984085</v>
      </c>
      <c r="N124" s="12" t="s">
        <v>33</v>
      </c>
      <c r="O124" s="12" t="s">
        <v>107</v>
      </c>
      <c r="P124" s="27" t="s">
        <v>35</v>
      </c>
      <c r="Q124" s="17" t="s">
        <v>36</v>
      </c>
    </row>
    <row r="125" spans="1:17" ht="24.9" customHeight="1">
      <c r="A125" s="2" t="s">
        <v>16</v>
      </c>
      <c r="B125" s="11" t="s">
        <v>777</v>
      </c>
      <c r="C125" s="9" t="s">
        <v>778</v>
      </c>
      <c r="D125" s="9" t="s">
        <v>779</v>
      </c>
      <c r="E125" s="13" t="s">
        <v>780</v>
      </c>
      <c r="F125" s="13" t="s">
        <v>781</v>
      </c>
      <c r="G125" s="18">
        <v>230</v>
      </c>
      <c r="H125" s="14">
        <f t="shared" si="4"/>
        <v>173</v>
      </c>
      <c r="I125" s="18"/>
      <c r="J125" s="15">
        <f t="shared" si="5"/>
        <v>0</v>
      </c>
      <c r="K125" s="27" t="s">
        <v>430</v>
      </c>
      <c r="L125" s="16" t="str">
        <f t="shared" si="6"/>
        <v>9789575749330</v>
      </c>
      <c r="M125" s="28" t="str">
        <f t="shared" si="7"/>
        <v>https://search.books.com.tw/search/query/key/9789575749330</v>
      </c>
      <c r="N125" s="12" t="s">
        <v>43</v>
      </c>
      <c r="O125" s="12" t="s">
        <v>632</v>
      </c>
      <c r="P125" s="27" t="s">
        <v>45</v>
      </c>
      <c r="Q125" s="17" t="s">
        <v>52</v>
      </c>
    </row>
    <row r="126" spans="1:17" ht="24.9" customHeight="1">
      <c r="A126" s="2" t="s">
        <v>16</v>
      </c>
      <c r="B126" s="11" t="s">
        <v>782</v>
      </c>
      <c r="C126" s="9" t="s">
        <v>783</v>
      </c>
      <c r="D126" s="9" t="s">
        <v>784</v>
      </c>
      <c r="E126" s="13" t="s">
        <v>785</v>
      </c>
      <c r="F126" s="13" t="s">
        <v>786</v>
      </c>
      <c r="G126" s="18">
        <v>350</v>
      </c>
      <c r="H126" s="14">
        <f t="shared" si="4"/>
        <v>263</v>
      </c>
      <c r="I126" s="18"/>
      <c r="J126" s="15">
        <f t="shared" si="5"/>
        <v>0</v>
      </c>
      <c r="K126" s="27" t="s">
        <v>787</v>
      </c>
      <c r="L126" s="16" t="str">
        <f t="shared" si="6"/>
        <v>9789865947729</v>
      </c>
      <c r="M126" s="28" t="str">
        <f t="shared" si="7"/>
        <v>https://search.books.com.tw/search/query/key/9789865947729</v>
      </c>
      <c r="N126" s="12" t="s">
        <v>33</v>
      </c>
      <c r="O126" s="12" t="s">
        <v>107</v>
      </c>
      <c r="P126" s="27" t="s">
        <v>35</v>
      </c>
      <c r="Q126" s="17" t="s">
        <v>36</v>
      </c>
    </row>
    <row r="127" spans="1:17" ht="24.9" customHeight="1">
      <c r="A127" s="2" t="s">
        <v>16</v>
      </c>
      <c r="B127" s="11" t="s">
        <v>788</v>
      </c>
      <c r="C127" s="9" t="s">
        <v>789</v>
      </c>
      <c r="D127" s="9" t="s">
        <v>790</v>
      </c>
      <c r="E127" s="13" t="s">
        <v>791</v>
      </c>
      <c r="F127" s="13" t="s">
        <v>792</v>
      </c>
      <c r="G127" s="18">
        <v>260</v>
      </c>
      <c r="H127" s="14">
        <f t="shared" si="4"/>
        <v>195</v>
      </c>
      <c r="I127" s="18"/>
      <c r="J127" s="15">
        <f t="shared" si="5"/>
        <v>0</v>
      </c>
      <c r="K127" s="27" t="s">
        <v>793</v>
      </c>
      <c r="L127" s="16" t="str">
        <f t="shared" si="6"/>
        <v>9789863193791</v>
      </c>
      <c r="M127" s="28" t="str">
        <f t="shared" si="7"/>
        <v>https://search.books.com.tw/search/query/key/9789863193791</v>
      </c>
      <c r="N127" s="12" t="s">
        <v>33</v>
      </c>
      <c r="O127" s="12" t="s">
        <v>794</v>
      </c>
      <c r="P127" s="27" t="s">
        <v>384</v>
      </c>
      <c r="Q127" s="17" t="s">
        <v>795</v>
      </c>
    </row>
    <row r="128" spans="1:17" ht="24.9" customHeight="1">
      <c r="A128" s="2" t="s">
        <v>16</v>
      </c>
      <c r="B128" s="11" t="s">
        <v>796</v>
      </c>
      <c r="C128" s="9" t="s">
        <v>797</v>
      </c>
      <c r="D128" s="9" t="s">
        <v>175</v>
      </c>
      <c r="E128" s="13" t="s">
        <v>798</v>
      </c>
      <c r="F128" s="13" t="s">
        <v>799</v>
      </c>
      <c r="G128" s="18">
        <v>280</v>
      </c>
      <c r="H128" s="14">
        <f t="shared" si="4"/>
        <v>210</v>
      </c>
      <c r="I128" s="18"/>
      <c r="J128" s="15">
        <f t="shared" si="5"/>
        <v>0</v>
      </c>
      <c r="K128" s="27" t="s">
        <v>80</v>
      </c>
      <c r="L128" s="16" t="str">
        <f t="shared" si="6"/>
        <v>9789862940181</v>
      </c>
      <c r="M128" s="28" t="str">
        <f t="shared" si="7"/>
        <v>https://search.books.com.tw/search/query/key/9789862940181</v>
      </c>
      <c r="N128" s="12" t="s">
        <v>33</v>
      </c>
      <c r="O128" s="12" t="s">
        <v>800</v>
      </c>
      <c r="P128" s="27" t="s">
        <v>35</v>
      </c>
      <c r="Q128" s="17" t="s">
        <v>36</v>
      </c>
    </row>
    <row r="129" spans="1:17" ht="24.9" customHeight="1">
      <c r="A129" s="2" t="s">
        <v>16</v>
      </c>
      <c r="B129" s="11" t="s">
        <v>801</v>
      </c>
      <c r="C129" s="9" t="s">
        <v>802</v>
      </c>
      <c r="D129" s="9" t="s">
        <v>803</v>
      </c>
      <c r="E129" s="13" t="s">
        <v>804</v>
      </c>
      <c r="F129" s="13" t="s">
        <v>805</v>
      </c>
      <c r="G129" s="18">
        <v>450</v>
      </c>
      <c r="H129" s="14">
        <f t="shared" si="4"/>
        <v>338</v>
      </c>
      <c r="I129" s="18"/>
      <c r="J129" s="15">
        <f t="shared" si="5"/>
        <v>0</v>
      </c>
      <c r="K129" s="27" t="s">
        <v>337</v>
      </c>
      <c r="L129" s="16" t="str">
        <f t="shared" si="6"/>
        <v>9789862167571</v>
      </c>
      <c r="M129" s="28" t="str">
        <f t="shared" si="7"/>
        <v>https://search.books.com.tw/search/query/key/9789862167571</v>
      </c>
      <c r="N129" s="12" t="s">
        <v>43</v>
      </c>
      <c r="O129" s="12" t="s">
        <v>604</v>
      </c>
      <c r="P129" s="27" t="s">
        <v>45</v>
      </c>
      <c r="Q129" s="17" t="s">
        <v>46</v>
      </c>
    </row>
    <row r="130" spans="1:17" ht="24.9" customHeight="1">
      <c r="A130" s="2" t="s">
        <v>16</v>
      </c>
      <c r="B130" s="11" t="s">
        <v>806</v>
      </c>
      <c r="C130" s="9" t="s">
        <v>807</v>
      </c>
      <c r="D130" s="9" t="s">
        <v>808</v>
      </c>
      <c r="E130" s="13" t="s">
        <v>809</v>
      </c>
      <c r="F130" s="13" t="s">
        <v>810</v>
      </c>
      <c r="G130" s="18">
        <v>320</v>
      </c>
      <c r="H130" s="14">
        <f t="shared" ref="H130:H193" si="8">ROUND(G130*75%,0)</f>
        <v>240</v>
      </c>
      <c r="I130" s="18"/>
      <c r="J130" s="15">
        <f t="shared" ref="J130:J193" si="9">H130*I130</f>
        <v>0</v>
      </c>
      <c r="K130" s="27" t="s">
        <v>267</v>
      </c>
      <c r="L130" s="16" t="str">
        <f t="shared" ref="L130:L193" si="10">HYPERLINK(M130,E130)</f>
        <v>9786263047426</v>
      </c>
      <c r="M130" s="28" t="str">
        <f t="shared" ref="M130:M193" si="11">"https://search.books.com.tw/search/query/key/"&amp;E130</f>
        <v>https://search.books.com.tw/search/query/key/9786263047426</v>
      </c>
      <c r="N130" s="12" t="s">
        <v>33</v>
      </c>
      <c r="O130" s="12" t="s">
        <v>811</v>
      </c>
      <c r="P130" s="27" t="s">
        <v>35</v>
      </c>
      <c r="Q130" s="17" t="s">
        <v>198</v>
      </c>
    </row>
    <row r="131" spans="1:17" ht="24.9" customHeight="1">
      <c r="A131" s="2" t="s">
        <v>16</v>
      </c>
      <c r="B131" s="11" t="s">
        <v>812</v>
      </c>
      <c r="C131" s="9" t="s">
        <v>813</v>
      </c>
      <c r="D131" s="9" t="s">
        <v>814</v>
      </c>
      <c r="E131" s="13" t="s">
        <v>815</v>
      </c>
      <c r="F131" s="13" t="s">
        <v>816</v>
      </c>
      <c r="G131" s="18">
        <v>240</v>
      </c>
      <c r="H131" s="14">
        <f t="shared" si="8"/>
        <v>180</v>
      </c>
      <c r="I131" s="18"/>
      <c r="J131" s="15">
        <f t="shared" si="9"/>
        <v>0</v>
      </c>
      <c r="K131" s="27" t="s">
        <v>42</v>
      </c>
      <c r="L131" s="16" t="str">
        <f t="shared" si="10"/>
        <v>9789570845150</v>
      </c>
      <c r="M131" s="28" t="str">
        <f t="shared" si="11"/>
        <v>https://search.books.com.tw/search/query/key/9789570845150</v>
      </c>
      <c r="N131" s="12" t="s">
        <v>33</v>
      </c>
      <c r="O131" s="12" t="s">
        <v>101</v>
      </c>
      <c r="P131" s="27" t="s">
        <v>35</v>
      </c>
      <c r="Q131" s="17" t="s">
        <v>817</v>
      </c>
    </row>
    <row r="132" spans="1:17" ht="24.9" customHeight="1">
      <c r="A132" s="2" t="s">
        <v>16</v>
      </c>
      <c r="B132" s="11" t="s">
        <v>818</v>
      </c>
      <c r="C132" s="9" t="s">
        <v>819</v>
      </c>
      <c r="D132" s="9" t="s">
        <v>593</v>
      </c>
      <c r="E132" s="13" t="s">
        <v>820</v>
      </c>
      <c r="F132" s="13" t="s">
        <v>821</v>
      </c>
      <c r="G132" s="18">
        <v>460</v>
      </c>
      <c r="H132" s="14">
        <f t="shared" si="8"/>
        <v>345</v>
      </c>
      <c r="I132" s="18"/>
      <c r="J132" s="15">
        <f t="shared" si="9"/>
        <v>0</v>
      </c>
      <c r="K132" s="27" t="s">
        <v>596</v>
      </c>
      <c r="L132" s="16" t="str">
        <f t="shared" si="10"/>
        <v>9786267483640</v>
      </c>
      <c r="M132" s="28" t="str">
        <f t="shared" si="11"/>
        <v>https://search.books.com.tw/search/query/key/9786267483640</v>
      </c>
      <c r="N132" s="12" t="s">
        <v>597</v>
      </c>
      <c r="O132" s="12" t="s">
        <v>238</v>
      </c>
      <c r="P132" s="27" t="s">
        <v>45</v>
      </c>
      <c r="Q132" s="17" t="s">
        <v>598</v>
      </c>
    </row>
    <row r="133" spans="1:17" ht="24.9" customHeight="1">
      <c r="A133" s="2" t="s">
        <v>16</v>
      </c>
      <c r="B133" s="11" t="s">
        <v>822</v>
      </c>
      <c r="C133" s="9" t="s">
        <v>823</v>
      </c>
      <c r="D133" s="9" t="s">
        <v>824</v>
      </c>
      <c r="E133" s="13" t="s">
        <v>825</v>
      </c>
      <c r="F133" s="13" t="s">
        <v>826</v>
      </c>
      <c r="G133" s="18">
        <v>450</v>
      </c>
      <c r="H133" s="14">
        <f t="shared" si="8"/>
        <v>338</v>
      </c>
      <c r="I133" s="18"/>
      <c r="J133" s="15">
        <f t="shared" si="9"/>
        <v>0</v>
      </c>
      <c r="K133" s="27" t="s">
        <v>704</v>
      </c>
      <c r="L133" s="16" t="str">
        <f t="shared" si="10"/>
        <v>9786263183797</v>
      </c>
      <c r="M133" s="28" t="str">
        <f t="shared" si="11"/>
        <v>https://search.books.com.tw/search/query/key/9786263183797</v>
      </c>
      <c r="N133" s="12" t="s">
        <v>33</v>
      </c>
      <c r="O133" s="12" t="s">
        <v>81</v>
      </c>
      <c r="P133" s="27" t="s">
        <v>35</v>
      </c>
      <c r="Q133" s="17" t="s">
        <v>198</v>
      </c>
    </row>
    <row r="134" spans="1:17" ht="24.9" customHeight="1">
      <c r="A134" s="2" t="s">
        <v>16</v>
      </c>
      <c r="B134" s="11" t="s">
        <v>827</v>
      </c>
      <c r="C134" s="9" t="s">
        <v>828</v>
      </c>
      <c r="D134" s="9" t="s">
        <v>829</v>
      </c>
      <c r="E134" s="13" t="s">
        <v>830</v>
      </c>
      <c r="F134" s="13" t="s">
        <v>831</v>
      </c>
      <c r="G134" s="18">
        <v>320</v>
      </c>
      <c r="H134" s="14">
        <f t="shared" si="8"/>
        <v>240</v>
      </c>
      <c r="I134" s="18"/>
      <c r="J134" s="15">
        <f t="shared" si="9"/>
        <v>0</v>
      </c>
      <c r="K134" s="27" t="s">
        <v>832</v>
      </c>
      <c r="L134" s="16" t="str">
        <f t="shared" si="10"/>
        <v>9789863594321</v>
      </c>
      <c r="M134" s="28" t="str">
        <f t="shared" si="11"/>
        <v>https://search.books.com.tw/search/query/key/9789863594321</v>
      </c>
      <c r="N134" s="12" t="s">
        <v>33</v>
      </c>
      <c r="O134" s="12" t="s">
        <v>833</v>
      </c>
      <c r="P134" s="27" t="s">
        <v>25</v>
      </c>
      <c r="Q134" s="17" t="s">
        <v>139</v>
      </c>
    </row>
    <row r="135" spans="1:17" ht="24.9" customHeight="1">
      <c r="A135" s="2" t="s">
        <v>16</v>
      </c>
      <c r="B135" s="11" t="s">
        <v>834</v>
      </c>
      <c r="C135" s="9" t="s">
        <v>835</v>
      </c>
      <c r="D135" s="9" t="s">
        <v>175</v>
      </c>
      <c r="E135" s="13" t="s">
        <v>836</v>
      </c>
      <c r="F135" s="13" t="s">
        <v>99</v>
      </c>
      <c r="G135" s="18">
        <v>320</v>
      </c>
      <c r="H135" s="14">
        <f t="shared" si="8"/>
        <v>240</v>
      </c>
      <c r="I135" s="18"/>
      <c r="J135" s="15">
        <f t="shared" si="9"/>
        <v>0</v>
      </c>
      <c r="K135" s="27" t="s">
        <v>80</v>
      </c>
      <c r="L135" s="16" t="str">
        <f t="shared" si="10"/>
        <v>9789862940440</v>
      </c>
      <c r="M135" s="28" t="str">
        <f t="shared" si="11"/>
        <v>https://search.books.com.tw/search/query/key/9789862940440</v>
      </c>
      <c r="N135" s="12" t="s">
        <v>33</v>
      </c>
      <c r="O135" s="12" t="s">
        <v>94</v>
      </c>
      <c r="P135" s="27" t="s">
        <v>35</v>
      </c>
      <c r="Q135" s="17" t="s">
        <v>36</v>
      </c>
    </row>
    <row r="136" spans="1:17" ht="24.9" customHeight="1">
      <c r="A136" s="2" t="s">
        <v>16</v>
      </c>
      <c r="B136" s="11" t="s">
        <v>837</v>
      </c>
      <c r="C136" s="9" t="s">
        <v>838</v>
      </c>
      <c r="D136" s="9" t="s">
        <v>839</v>
      </c>
      <c r="E136" s="13" t="s">
        <v>840</v>
      </c>
      <c r="F136" s="13" t="s">
        <v>841</v>
      </c>
      <c r="G136" s="18">
        <v>260</v>
      </c>
      <c r="H136" s="14">
        <f t="shared" si="8"/>
        <v>195</v>
      </c>
      <c r="I136" s="18"/>
      <c r="J136" s="15">
        <f t="shared" si="9"/>
        <v>0</v>
      </c>
      <c r="K136" s="27" t="s">
        <v>793</v>
      </c>
      <c r="L136" s="16" t="str">
        <f t="shared" si="10"/>
        <v>9789863193937</v>
      </c>
      <c r="M136" s="28" t="str">
        <f t="shared" si="11"/>
        <v>https://search.books.com.tw/search/query/key/9789863193937</v>
      </c>
      <c r="N136" s="12" t="s">
        <v>23</v>
      </c>
      <c r="O136" s="12" t="s">
        <v>794</v>
      </c>
      <c r="P136" s="27" t="s">
        <v>384</v>
      </c>
      <c r="Q136" s="17" t="s">
        <v>795</v>
      </c>
    </row>
    <row r="137" spans="1:17" ht="24.9" customHeight="1">
      <c r="A137" s="2" t="s">
        <v>16</v>
      </c>
      <c r="B137" s="11" t="s">
        <v>842</v>
      </c>
      <c r="C137" s="9" t="s">
        <v>843</v>
      </c>
      <c r="D137" s="9" t="s">
        <v>839</v>
      </c>
      <c r="E137" s="13" t="s">
        <v>844</v>
      </c>
      <c r="F137" s="13" t="s">
        <v>845</v>
      </c>
      <c r="G137" s="18">
        <v>280</v>
      </c>
      <c r="H137" s="14">
        <f t="shared" si="8"/>
        <v>210</v>
      </c>
      <c r="I137" s="18"/>
      <c r="J137" s="15">
        <f t="shared" si="9"/>
        <v>0</v>
      </c>
      <c r="K137" s="27" t="s">
        <v>793</v>
      </c>
      <c r="L137" s="16" t="str">
        <f t="shared" si="10"/>
        <v>9789863194880</v>
      </c>
      <c r="M137" s="28" t="str">
        <f t="shared" si="11"/>
        <v>https://search.books.com.tw/search/query/key/9789863194880</v>
      </c>
      <c r="N137" s="12" t="s">
        <v>23</v>
      </c>
      <c r="O137" s="12" t="s">
        <v>794</v>
      </c>
      <c r="P137" s="27" t="s">
        <v>384</v>
      </c>
      <c r="Q137" s="17" t="s">
        <v>795</v>
      </c>
    </row>
    <row r="138" spans="1:17" ht="24.9" customHeight="1">
      <c r="A138" s="2" t="s">
        <v>16</v>
      </c>
      <c r="B138" s="11" t="s">
        <v>846</v>
      </c>
      <c r="C138" s="9" t="s">
        <v>847</v>
      </c>
      <c r="D138" s="9" t="s">
        <v>848</v>
      </c>
      <c r="E138" s="13" t="s">
        <v>849</v>
      </c>
      <c r="F138" s="13" t="s">
        <v>850</v>
      </c>
      <c r="G138" s="18">
        <v>340</v>
      </c>
      <c r="H138" s="14">
        <f t="shared" si="8"/>
        <v>255</v>
      </c>
      <c r="I138" s="18"/>
      <c r="J138" s="15">
        <f t="shared" si="9"/>
        <v>0</v>
      </c>
      <c r="K138" s="27" t="s">
        <v>851</v>
      </c>
      <c r="L138" s="16" t="str">
        <f t="shared" si="10"/>
        <v>9789865813321</v>
      </c>
      <c r="M138" s="28" t="str">
        <f t="shared" si="11"/>
        <v>https://search.books.com.tw/search/query/key/9789865813321</v>
      </c>
      <c r="N138" s="12" t="s">
        <v>33</v>
      </c>
      <c r="O138" s="12" t="s">
        <v>759</v>
      </c>
      <c r="P138" s="27" t="s">
        <v>73</v>
      </c>
      <c r="Q138" s="17" t="s">
        <v>275</v>
      </c>
    </row>
    <row r="139" spans="1:17" ht="24.9" customHeight="1">
      <c r="A139" s="2" t="s">
        <v>16</v>
      </c>
      <c r="B139" s="11" t="s">
        <v>852</v>
      </c>
      <c r="C139" s="9" t="s">
        <v>853</v>
      </c>
      <c r="D139" s="9" t="s">
        <v>324</v>
      </c>
      <c r="E139" s="13" t="s">
        <v>854</v>
      </c>
      <c r="F139" s="13" t="s">
        <v>855</v>
      </c>
      <c r="G139" s="18">
        <v>390</v>
      </c>
      <c r="H139" s="14">
        <f t="shared" si="8"/>
        <v>293</v>
      </c>
      <c r="I139" s="18"/>
      <c r="J139" s="15">
        <f t="shared" si="9"/>
        <v>0</v>
      </c>
      <c r="K139" s="27" t="s">
        <v>150</v>
      </c>
      <c r="L139" s="16" t="str">
        <f t="shared" si="10"/>
        <v>9789862623121</v>
      </c>
      <c r="M139" s="28" t="str">
        <f t="shared" si="11"/>
        <v>https://search.books.com.tw/search/query/key/9789862623121</v>
      </c>
      <c r="N139" s="12" t="s">
        <v>33</v>
      </c>
      <c r="O139" s="12" t="s">
        <v>274</v>
      </c>
      <c r="P139" s="27" t="s">
        <v>25</v>
      </c>
      <c r="Q139" s="17" t="s">
        <v>275</v>
      </c>
    </row>
    <row r="140" spans="1:17" ht="24.9" customHeight="1">
      <c r="A140" s="2" t="s">
        <v>16</v>
      </c>
      <c r="B140" s="11" t="s">
        <v>856</v>
      </c>
      <c r="C140" s="9" t="s">
        <v>857</v>
      </c>
      <c r="D140" s="9" t="s">
        <v>194</v>
      </c>
      <c r="E140" s="13" t="s">
        <v>858</v>
      </c>
      <c r="F140" s="13" t="s">
        <v>859</v>
      </c>
      <c r="G140" s="18">
        <v>880</v>
      </c>
      <c r="H140" s="14">
        <f t="shared" si="8"/>
        <v>660</v>
      </c>
      <c r="I140" s="18"/>
      <c r="J140" s="15">
        <f t="shared" si="9"/>
        <v>0</v>
      </c>
      <c r="K140" s="27" t="s">
        <v>787</v>
      </c>
      <c r="L140" s="16" t="str">
        <f t="shared" si="10"/>
        <v>9789863843177</v>
      </c>
      <c r="M140" s="28" t="str">
        <f t="shared" si="11"/>
        <v>https://search.books.com.tw/search/query/key/9789863843177</v>
      </c>
      <c r="N140" s="12" t="s">
        <v>33</v>
      </c>
      <c r="O140" s="12" t="s">
        <v>197</v>
      </c>
      <c r="P140" s="27" t="s">
        <v>35</v>
      </c>
      <c r="Q140" s="17" t="s">
        <v>36</v>
      </c>
    </row>
    <row r="141" spans="1:17" ht="24.9" customHeight="1">
      <c r="A141" s="2" t="s">
        <v>16</v>
      </c>
      <c r="B141" s="11" t="s">
        <v>860</v>
      </c>
      <c r="C141" s="9" t="s">
        <v>861</v>
      </c>
      <c r="D141" s="9" t="s">
        <v>862</v>
      </c>
      <c r="E141" s="13" t="s">
        <v>863</v>
      </c>
      <c r="F141" s="13" t="s">
        <v>864</v>
      </c>
      <c r="G141" s="18">
        <v>180</v>
      </c>
      <c r="H141" s="14">
        <f t="shared" si="8"/>
        <v>135</v>
      </c>
      <c r="I141" s="18"/>
      <c r="J141" s="15">
        <f t="shared" si="9"/>
        <v>0</v>
      </c>
      <c r="K141" s="27" t="s">
        <v>492</v>
      </c>
      <c r="L141" s="16" t="str">
        <f t="shared" si="10"/>
        <v>9789576636110</v>
      </c>
      <c r="M141" s="28" t="str">
        <f t="shared" si="11"/>
        <v>https://search.books.com.tw/search/query/key/9789576636110</v>
      </c>
      <c r="N141" s="12" t="s">
        <v>33</v>
      </c>
      <c r="O141" s="12" t="s">
        <v>493</v>
      </c>
      <c r="P141" s="27" t="s">
        <v>35</v>
      </c>
      <c r="Q141" s="17" t="s">
        <v>36</v>
      </c>
    </row>
    <row r="142" spans="1:17" ht="24.9" customHeight="1">
      <c r="A142" s="2" t="s">
        <v>16</v>
      </c>
      <c r="B142" s="11" t="s">
        <v>865</v>
      </c>
      <c r="C142" s="9" t="s">
        <v>866</v>
      </c>
      <c r="D142" s="9" t="s">
        <v>867</v>
      </c>
      <c r="E142" s="13" t="s">
        <v>868</v>
      </c>
      <c r="F142" s="13" t="s">
        <v>869</v>
      </c>
      <c r="G142" s="18">
        <v>300</v>
      </c>
      <c r="H142" s="14">
        <f t="shared" si="8"/>
        <v>225</v>
      </c>
      <c r="I142" s="18"/>
      <c r="J142" s="15">
        <f t="shared" si="9"/>
        <v>0</v>
      </c>
      <c r="K142" s="27" t="s">
        <v>690</v>
      </c>
      <c r="L142" s="16" t="str">
        <f t="shared" si="10"/>
        <v>9789866249389</v>
      </c>
      <c r="M142" s="28" t="str">
        <f t="shared" si="11"/>
        <v>https://search.books.com.tw/search/query/key/9789866249389</v>
      </c>
      <c r="N142" s="12" t="s">
        <v>33</v>
      </c>
      <c r="O142" s="12" t="s">
        <v>493</v>
      </c>
      <c r="P142" s="27" t="s">
        <v>35</v>
      </c>
      <c r="Q142" s="17" t="s">
        <v>36</v>
      </c>
    </row>
    <row r="143" spans="1:17" ht="24.9" customHeight="1">
      <c r="A143" s="2" t="s">
        <v>16</v>
      </c>
      <c r="B143" s="11" t="s">
        <v>870</v>
      </c>
      <c r="C143" s="9" t="s">
        <v>871</v>
      </c>
      <c r="D143" s="9" t="s">
        <v>872</v>
      </c>
      <c r="E143" s="13" t="s">
        <v>873</v>
      </c>
      <c r="F143" s="13" t="s">
        <v>874</v>
      </c>
      <c r="G143" s="18">
        <v>280</v>
      </c>
      <c r="H143" s="14">
        <f t="shared" si="8"/>
        <v>210</v>
      </c>
      <c r="I143" s="18"/>
      <c r="J143" s="15">
        <f t="shared" si="9"/>
        <v>0</v>
      </c>
      <c r="K143" s="27" t="s">
        <v>584</v>
      </c>
      <c r="L143" s="16" t="str">
        <f t="shared" si="10"/>
        <v>9789869419062</v>
      </c>
      <c r="M143" s="28" t="str">
        <f t="shared" si="11"/>
        <v>https://search.books.com.tw/search/query/key/9789869419062</v>
      </c>
      <c r="N143" s="12" t="s">
        <v>43</v>
      </c>
      <c r="O143" s="12" t="s">
        <v>875</v>
      </c>
      <c r="P143" s="27" t="s">
        <v>45</v>
      </c>
      <c r="Q143" s="17" t="s">
        <v>46</v>
      </c>
    </row>
    <row r="144" spans="1:17" ht="24.9" customHeight="1">
      <c r="A144" s="2" t="s">
        <v>16</v>
      </c>
      <c r="B144" s="11" t="s">
        <v>876</v>
      </c>
      <c r="C144" s="9" t="s">
        <v>877</v>
      </c>
      <c r="D144" s="9" t="s">
        <v>878</v>
      </c>
      <c r="E144" s="13" t="s">
        <v>879</v>
      </c>
      <c r="F144" s="13" t="s">
        <v>880</v>
      </c>
      <c r="G144" s="18">
        <v>450</v>
      </c>
      <c r="H144" s="14">
        <f t="shared" si="8"/>
        <v>338</v>
      </c>
      <c r="I144" s="18"/>
      <c r="J144" s="15">
        <f t="shared" si="9"/>
        <v>0</v>
      </c>
      <c r="K144" s="27" t="s">
        <v>881</v>
      </c>
      <c r="L144" s="16" t="str">
        <f t="shared" si="10"/>
        <v>9789579380744</v>
      </c>
      <c r="M144" s="28" t="str">
        <f t="shared" si="11"/>
        <v>https://search.books.com.tw/search/query/key/9789579380744</v>
      </c>
      <c r="N144" s="12" t="s">
        <v>343</v>
      </c>
      <c r="O144" s="12" t="s">
        <v>238</v>
      </c>
      <c r="P144" s="27" t="s">
        <v>45</v>
      </c>
      <c r="Q144" s="17" t="s">
        <v>523</v>
      </c>
    </row>
    <row r="145" spans="1:17" ht="24.9" customHeight="1">
      <c r="A145" s="2" t="s">
        <v>16</v>
      </c>
      <c r="B145" s="11" t="s">
        <v>882</v>
      </c>
      <c r="C145" s="9" t="s">
        <v>883</v>
      </c>
      <c r="D145" s="9" t="s">
        <v>884</v>
      </c>
      <c r="E145" s="13" t="s">
        <v>885</v>
      </c>
      <c r="F145" s="13" t="s">
        <v>886</v>
      </c>
      <c r="G145" s="18">
        <v>350</v>
      </c>
      <c r="H145" s="14">
        <f t="shared" si="8"/>
        <v>263</v>
      </c>
      <c r="I145" s="18"/>
      <c r="J145" s="15">
        <f t="shared" si="9"/>
        <v>0</v>
      </c>
      <c r="K145" s="27" t="s">
        <v>32</v>
      </c>
      <c r="L145" s="16" t="str">
        <f t="shared" si="10"/>
        <v>9789573267294</v>
      </c>
      <c r="M145" s="28" t="str">
        <f t="shared" si="11"/>
        <v>https://search.books.com.tw/search/query/key/9789573267294</v>
      </c>
      <c r="N145" s="12" t="s">
        <v>33</v>
      </c>
      <c r="O145" s="12" t="s">
        <v>887</v>
      </c>
      <c r="P145" s="27" t="s">
        <v>384</v>
      </c>
      <c r="Q145" s="17" t="s">
        <v>385</v>
      </c>
    </row>
    <row r="146" spans="1:17" ht="24.9" customHeight="1">
      <c r="A146" s="2" t="s">
        <v>16</v>
      </c>
      <c r="B146" s="11" t="s">
        <v>888</v>
      </c>
      <c r="C146" s="9" t="s">
        <v>889</v>
      </c>
      <c r="D146" s="9" t="s">
        <v>427</v>
      </c>
      <c r="E146" s="13" t="s">
        <v>890</v>
      </c>
      <c r="F146" s="13" t="s">
        <v>891</v>
      </c>
      <c r="G146" s="18">
        <v>320</v>
      </c>
      <c r="H146" s="14">
        <f t="shared" si="8"/>
        <v>240</v>
      </c>
      <c r="I146" s="18"/>
      <c r="J146" s="15">
        <f t="shared" si="9"/>
        <v>0</v>
      </c>
      <c r="K146" s="27" t="s">
        <v>22</v>
      </c>
      <c r="L146" s="16" t="str">
        <f t="shared" si="10"/>
        <v>9789862119655</v>
      </c>
      <c r="M146" s="28" t="str">
        <f t="shared" si="11"/>
        <v>https://search.books.com.tw/search/query/key/9789862119655</v>
      </c>
      <c r="N146" s="12" t="s">
        <v>43</v>
      </c>
      <c r="O146" s="12" t="s">
        <v>238</v>
      </c>
      <c r="P146" s="27" t="s">
        <v>45</v>
      </c>
      <c r="Q146" s="17" t="s">
        <v>46</v>
      </c>
    </row>
    <row r="147" spans="1:17" ht="24.9" customHeight="1">
      <c r="A147" s="2" t="s">
        <v>16</v>
      </c>
      <c r="B147" s="11" t="s">
        <v>892</v>
      </c>
      <c r="C147" s="9" t="s">
        <v>893</v>
      </c>
      <c r="D147" s="9" t="s">
        <v>894</v>
      </c>
      <c r="E147" s="13" t="s">
        <v>895</v>
      </c>
      <c r="F147" s="13" t="s">
        <v>896</v>
      </c>
      <c r="G147" s="18">
        <v>360</v>
      </c>
      <c r="H147" s="14">
        <f t="shared" si="8"/>
        <v>270</v>
      </c>
      <c r="I147" s="18"/>
      <c r="J147" s="15">
        <f t="shared" si="9"/>
        <v>0</v>
      </c>
      <c r="K147" s="27" t="s">
        <v>560</v>
      </c>
      <c r="L147" s="16" t="str">
        <f t="shared" si="10"/>
        <v>4717211037416</v>
      </c>
      <c r="M147" s="28" t="str">
        <f t="shared" si="11"/>
        <v>https://search.books.com.tw/search/query/key/4717211037416</v>
      </c>
      <c r="N147" s="12" t="s">
        <v>23</v>
      </c>
      <c r="O147" s="12" t="s">
        <v>44</v>
      </c>
      <c r="P147" s="27" t="s">
        <v>45</v>
      </c>
      <c r="Q147" s="17" t="s">
        <v>713</v>
      </c>
    </row>
    <row r="148" spans="1:17" ht="24.9" customHeight="1">
      <c r="A148" s="2" t="s">
        <v>16</v>
      </c>
      <c r="B148" s="11" t="s">
        <v>897</v>
      </c>
      <c r="C148" s="9" t="s">
        <v>898</v>
      </c>
      <c r="D148" s="9" t="s">
        <v>899</v>
      </c>
      <c r="E148" s="13" t="s">
        <v>900</v>
      </c>
      <c r="F148" s="13" t="s">
        <v>901</v>
      </c>
      <c r="G148" s="18">
        <v>350</v>
      </c>
      <c r="H148" s="14">
        <f t="shared" si="8"/>
        <v>263</v>
      </c>
      <c r="I148" s="18"/>
      <c r="J148" s="15">
        <f t="shared" si="9"/>
        <v>0</v>
      </c>
      <c r="K148" s="27" t="s">
        <v>80</v>
      </c>
      <c r="L148" s="16" t="str">
        <f t="shared" si="10"/>
        <v>9789862943113</v>
      </c>
      <c r="M148" s="28" t="str">
        <f t="shared" si="11"/>
        <v>https://search.books.com.tw/search/query/key/9789862943113</v>
      </c>
      <c r="N148" s="12" t="s">
        <v>343</v>
      </c>
      <c r="O148" s="12" t="s">
        <v>712</v>
      </c>
      <c r="P148" s="27" t="s">
        <v>45</v>
      </c>
      <c r="Q148" s="17" t="s">
        <v>713</v>
      </c>
    </row>
    <row r="149" spans="1:17" ht="24.9" customHeight="1">
      <c r="A149" s="2" t="s">
        <v>16</v>
      </c>
      <c r="B149" s="11" t="s">
        <v>902</v>
      </c>
      <c r="C149" s="9" t="s">
        <v>903</v>
      </c>
      <c r="D149" s="9" t="s">
        <v>904</v>
      </c>
      <c r="E149" s="13" t="s">
        <v>905</v>
      </c>
      <c r="F149" s="13" t="s">
        <v>906</v>
      </c>
      <c r="G149" s="18">
        <v>320</v>
      </c>
      <c r="H149" s="14">
        <f t="shared" si="8"/>
        <v>240</v>
      </c>
      <c r="I149" s="18"/>
      <c r="J149" s="15">
        <f t="shared" si="9"/>
        <v>0</v>
      </c>
      <c r="K149" s="27" t="s">
        <v>907</v>
      </c>
      <c r="L149" s="16" t="str">
        <f t="shared" si="10"/>
        <v>9789863360698</v>
      </c>
      <c r="M149" s="28" t="str">
        <f t="shared" si="11"/>
        <v>https://search.books.com.tw/search/query/key/9789863360698</v>
      </c>
      <c r="N149" s="12" t="s">
        <v>33</v>
      </c>
      <c r="O149" s="12" t="s">
        <v>908</v>
      </c>
      <c r="P149" s="27" t="s">
        <v>35</v>
      </c>
      <c r="Q149" s="17" t="s">
        <v>65</v>
      </c>
    </row>
    <row r="150" spans="1:17" ht="24.9" customHeight="1">
      <c r="A150" s="2" t="s">
        <v>16</v>
      </c>
      <c r="B150" s="11" t="s">
        <v>909</v>
      </c>
      <c r="C150" s="9" t="s">
        <v>910</v>
      </c>
      <c r="D150" s="9" t="s">
        <v>489</v>
      </c>
      <c r="E150" s="13" t="s">
        <v>911</v>
      </c>
      <c r="F150" s="13" t="s">
        <v>912</v>
      </c>
      <c r="G150" s="18">
        <v>280</v>
      </c>
      <c r="H150" s="14">
        <f t="shared" si="8"/>
        <v>210</v>
      </c>
      <c r="I150" s="18"/>
      <c r="J150" s="15">
        <f t="shared" si="9"/>
        <v>0</v>
      </c>
      <c r="K150" s="27" t="s">
        <v>430</v>
      </c>
      <c r="L150" s="16" t="str">
        <f t="shared" si="10"/>
        <v>9789575749880</v>
      </c>
      <c r="M150" s="28" t="str">
        <f t="shared" si="11"/>
        <v>https://search.books.com.tw/search/query/key/9789575749880</v>
      </c>
      <c r="N150" s="12" t="s">
        <v>33</v>
      </c>
      <c r="O150" s="12" t="s">
        <v>913</v>
      </c>
      <c r="P150" s="27" t="s">
        <v>25</v>
      </c>
      <c r="Q150" s="17" t="s">
        <v>139</v>
      </c>
    </row>
    <row r="151" spans="1:17" ht="24.9" customHeight="1">
      <c r="A151" s="2" t="s">
        <v>16</v>
      </c>
      <c r="B151" s="11" t="s">
        <v>914</v>
      </c>
      <c r="C151" s="9" t="s">
        <v>915</v>
      </c>
      <c r="D151" s="9" t="s">
        <v>916</v>
      </c>
      <c r="E151" s="13" t="s">
        <v>917</v>
      </c>
      <c r="F151" s="13" t="s">
        <v>918</v>
      </c>
      <c r="G151" s="18">
        <v>350</v>
      </c>
      <c r="H151" s="14">
        <f t="shared" si="8"/>
        <v>263</v>
      </c>
      <c r="I151" s="18"/>
      <c r="J151" s="15">
        <f t="shared" si="9"/>
        <v>0</v>
      </c>
      <c r="K151" s="27" t="s">
        <v>337</v>
      </c>
      <c r="L151" s="16" t="str">
        <f t="shared" si="10"/>
        <v>9789862165485</v>
      </c>
      <c r="M151" s="28" t="str">
        <f t="shared" si="11"/>
        <v>https://search.books.com.tw/search/query/key/9789862165485</v>
      </c>
      <c r="N151" s="12" t="s">
        <v>43</v>
      </c>
      <c r="O151" s="12" t="s">
        <v>919</v>
      </c>
      <c r="P151" s="27" t="s">
        <v>45</v>
      </c>
      <c r="Q151" s="17" t="s">
        <v>46</v>
      </c>
    </row>
    <row r="152" spans="1:17" ht="24.9" customHeight="1">
      <c r="A152" s="2" t="s">
        <v>16</v>
      </c>
      <c r="B152" s="11" t="s">
        <v>920</v>
      </c>
      <c r="C152" s="9" t="s">
        <v>921</v>
      </c>
      <c r="D152" s="9" t="s">
        <v>922</v>
      </c>
      <c r="E152" s="13" t="s">
        <v>923</v>
      </c>
      <c r="F152" s="13" t="s">
        <v>924</v>
      </c>
      <c r="G152" s="18">
        <v>350</v>
      </c>
      <c r="H152" s="14">
        <f t="shared" si="8"/>
        <v>263</v>
      </c>
      <c r="I152" s="18"/>
      <c r="J152" s="15">
        <f t="shared" si="9"/>
        <v>0</v>
      </c>
      <c r="K152" s="27" t="s">
        <v>22</v>
      </c>
      <c r="L152" s="16" t="str">
        <f t="shared" si="10"/>
        <v>9789865566692</v>
      </c>
      <c r="M152" s="28" t="str">
        <f t="shared" si="11"/>
        <v>https://search.books.com.tw/search/query/key/9789865566692</v>
      </c>
      <c r="N152" s="12" t="s">
        <v>343</v>
      </c>
      <c r="O152" s="12" t="s">
        <v>238</v>
      </c>
      <c r="P152" s="27" t="s">
        <v>45</v>
      </c>
      <c r="Q152" s="17" t="s">
        <v>523</v>
      </c>
    </row>
    <row r="153" spans="1:17" ht="24.9" customHeight="1">
      <c r="A153" s="2" t="s">
        <v>16</v>
      </c>
      <c r="B153" s="11" t="s">
        <v>925</v>
      </c>
      <c r="C153" s="9" t="s">
        <v>926</v>
      </c>
      <c r="D153" s="9" t="s">
        <v>927</v>
      </c>
      <c r="E153" s="13" t="s">
        <v>928</v>
      </c>
      <c r="F153" s="13" t="s">
        <v>929</v>
      </c>
      <c r="G153" s="18">
        <v>320</v>
      </c>
      <c r="H153" s="14">
        <f t="shared" si="8"/>
        <v>240</v>
      </c>
      <c r="I153" s="18"/>
      <c r="J153" s="15">
        <f t="shared" si="9"/>
        <v>0</v>
      </c>
      <c r="K153" s="27" t="s">
        <v>22</v>
      </c>
      <c r="L153" s="16" t="str">
        <f t="shared" si="10"/>
        <v>9789862112670</v>
      </c>
      <c r="M153" s="28" t="str">
        <f t="shared" si="11"/>
        <v>https://search.books.com.tw/search/query/key/9789862112670</v>
      </c>
      <c r="N153" s="12" t="s">
        <v>43</v>
      </c>
      <c r="O153" s="12" t="s">
        <v>44</v>
      </c>
      <c r="P153" s="27" t="s">
        <v>45</v>
      </c>
      <c r="Q153" s="17" t="s">
        <v>46</v>
      </c>
    </row>
    <row r="154" spans="1:17" ht="24.9" customHeight="1">
      <c r="A154" s="2" t="s">
        <v>16</v>
      </c>
      <c r="B154" s="11" t="s">
        <v>930</v>
      </c>
      <c r="C154" s="9" t="s">
        <v>931</v>
      </c>
      <c r="D154" s="9" t="s">
        <v>932</v>
      </c>
      <c r="E154" s="13" t="s">
        <v>933</v>
      </c>
      <c r="F154" s="13" t="s">
        <v>934</v>
      </c>
      <c r="G154" s="18">
        <v>380</v>
      </c>
      <c r="H154" s="14">
        <f t="shared" si="8"/>
        <v>285</v>
      </c>
      <c r="I154" s="18"/>
      <c r="J154" s="15">
        <f t="shared" si="9"/>
        <v>0</v>
      </c>
      <c r="K154" s="27" t="s">
        <v>80</v>
      </c>
      <c r="L154" s="16" t="str">
        <f t="shared" si="10"/>
        <v>9789862942383</v>
      </c>
      <c r="M154" s="28" t="str">
        <f t="shared" si="11"/>
        <v>https://search.books.com.tw/search/query/key/9789862942383</v>
      </c>
      <c r="N154" s="12" t="s">
        <v>43</v>
      </c>
      <c r="O154" s="12" t="s">
        <v>935</v>
      </c>
      <c r="P154" s="27" t="s">
        <v>45</v>
      </c>
      <c r="Q154" s="17" t="s">
        <v>936</v>
      </c>
    </row>
    <row r="155" spans="1:17" ht="24.9" customHeight="1">
      <c r="A155" s="2" t="s">
        <v>16</v>
      </c>
      <c r="B155" s="11" t="s">
        <v>937</v>
      </c>
      <c r="C155" s="9" t="s">
        <v>938</v>
      </c>
      <c r="D155" s="9"/>
      <c r="E155" s="13" t="s">
        <v>939</v>
      </c>
      <c r="F155" s="13" t="s">
        <v>940</v>
      </c>
      <c r="G155" s="18">
        <v>399</v>
      </c>
      <c r="H155" s="14">
        <f t="shared" si="8"/>
        <v>299</v>
      </c>
      <c r="I155" s="18"/>
      <c r="J155" s="15">
        <f t="shared" si="9"/>
        <v>0</v>
      </c>
      <c r="K155" s="27" t="s">
        <v>80</v>
      </c>
      <c r="L155" s="16" t="str">
        <f t="shared" si="10"/>
        <v>9789862940549</v>
      </c>
      <c r="M155" s="28" t="str">
        <f t="shared" si="11"/>
        <v>https://search.books.com.tw/search/query/key/9789862940549</v>
      </c>
      <c r="N155" s="12" t="s">
        <v>33</v>
      </c>
      <c r="O155" s="12" t="s">
        <v>34</v>
      </c>
      <c r="P155" s="27" t="s">
        <v>35</v>
      </c>
      <c r="Q155" s="17" t="s">
        <v>65</v>
      </c>
    </row>
    <row r="156" spans="1:17" ht="24.9" customHeight="1">
      <c r="A156" s="2" t="s">
        <v>16</v>
      </c>
      <c r="B156" s="11" t="s">
        <v>941</v>
      </c>
      <c r="C156" s="9" t="s">
        <v>942</v>
      </c>
      <c r="D156" s="9" t="s">
        <v>943</v>
      </c>
      <c r="E156" s="13" t="s">
        <v>944</v>
      </c>
      <c r="F156" s="13" t="s">
        <v>831</v>
      </c>
      <c r="G156" s="18">
        <v>450</v>
      </c>
      <c r="H156" s="14">
        <f t="shared" si="8"/>
        <v>338</v>
      </c>
      <c r="I156" s="18"/>
      <c r="J156" s="15">
        <f t="shared" si="9"/>
        <v>0</v>
      </c>
      <c r="K156" s="27" t="s">
        <v>32</v>
      </c>
      <c r="L156" s="16" t="str">
        <f t="shared" si="10"/>
        <v>9789573280330</v>
      </c>
      <c r="M156" s="28" t="str">
        <f t="shared" si="11"/>
        <v>https://search.books.com.tw/search/query/key/9789573280330</v>
      </c>
      <c r="N156" s="12" t="s">
        <v>33</v>
      </c>
      <c r="O156" s="12" t="s">
        <v>945</v>
      </c>
      <c r="P156" s="27" t="s">
        <v>35</v>
      </c>
      <c r="Q156" s="17" t="s">
        <v>36</v>
      </c>
    </row>
    <row r="157" spans="1:17" ht="24.9" customHeight="1">
      <c r="A157" s="2" t="s">
        <v>16</v>
      </c>
      <c r="B157" s="11" t="s">
        <v>946</v>
      </c>
      <c r="C157" s="9" t="s">
        <v>947</v>
      </c>
      <c r="D157" s="9" t="s">
        <v>948</v>
      </c>
      <c r="E157" s="13" t="s">
        <v>949</v>
      </c>
      <c r="F157" s="13" t="s">
        <v>950</v>
      </c>
      <c r="G157" s="18">
        <v>360</v>
      </c>
      <c r="H157" s="14">
        <f t="shared" si="8"/>
        <v>270</v>
      </c>
      <c r="I157" s="18"/>
      <c r="J157" s="15">
        <f t="shared" si="9"/>
        <v>0</v>
      </c>
      <c r="K157" s="27" t="s">
        <v>32</v>
      </c>
      <c r="L157" s="16" t="str">
        <f t="shared" si="10"/>
        <v>9789573289760</v>
      </c>
      <c r="M157" s="28" t="str">
        <f t="shared" si="11"/>
        <v>https://search.books.com.tw/search/query/key/9789573289760</v>
      </c>
      <c r="N157" s="12" t="s">
        <v>43</v>
      </c>
      <c r="O157" s="12" t="s">
        <v>712</v>
      </c>
      <c r="P157" s="27" t="s">
        <v>45</v>
      </c>
      <c r="Q157" s="17" t="s">
        <v>713</v>
      </c>
    </row>
    <row r="158" spans="1:17" ht="24.9" customHeight="1">
      <c r="A158" s="2" t="s">
        <v>16</v>
      </c>
      <c r="B158" s="11" t="s">
        <v>951</v>
      </c>
      <c r="C158" s="9" t="s">
        <v>952</v>
      </c>
      <c r="D158" s="9" t="s">
        <v>953</v>
      </c>
      <c r="E158" s="13" t="s">
        <v>954</v>
      </c>
      <c r="F158" s="13" t="s">
        <v>955</v>
      </c>
      <c r="G158" s="18">
        <v>350</v>
      </c>
      <c r="H158" s="14">
        <f t="shared" si="8"/>
        <v>263</v>
      </c>
      <c r="I158" s="18"/>
      <c r="J158" s="15">
        <f t="shared" si="9"/>
        <v>0</v>
      </c>
      <c r="K158" s="27" t="s">
        <v>956</v>
      </c>
      <c r="L158" s="16" t="str">
        <f t="shared" si="10"/>
        <v>9786267140017</v>
      </c>
      <c r="M158" s="28" t="str">
        <f t="shared" si="11"/>
        <v>https://search.books.com.tw/search/query/key/9786267140017</v>
      </c>
      <c r="N158" s="12" t="s">
        <v>597</v>
      </c>
      <c r="O158" s="12" t="s">
        <v>238</v>
      </c>
      <c r="P158" s="27" t="s">
        <v>45</v>
      </c>
      <c r="Q158" s="17" t="s">
        <v>713</v>
      </c>
    </row>
    <row r="159" spans="1:17" ht="24.9" customHeight="1">
      <c r="A159" s="2" t="s">
        <v>16</v>
      </c>
      <c r="B159" s="11" t="s">
        <v>957</v>
      </c>
      <c r="C159" s="9" t="s">
        <v>958</v>
      </c>
      <c r="D159" s="9" t="s">
        <v>959</v>
      </c>
      <c r="E159" s="13" t="s">
        <v>960</v>
      </c>
      <c r="F159" s="13" t="s">
        <v>886</v>
      </c>
      <c r="G159" s="18">
        <v>320</v>
      </c>
      <c r="H159" s="14">
        <f t="shared" si="8"/>
        <v>240</v>
      </c>
      <c r="I159" s="18"/>
      <c r="J159" s="15">
        <f t="shared" si="9"/>
        <v>0</v>
      </c>
      <c r="K159" s="27" t="s">
        <v>474</v>
      </c>
      <c r="L159" s="16" t="str">
        <f t="shared" si="10"/>
        <v>9789866798320</v>
      </c>
      <c r="M159" s="28" t="str">
        <f t="shared" si="11"/>
        <v>https://search.books.com.tw/search/query/key/9789866798320</v>
      </c>
      <c r="N159" s="12" t="s">
        <v>33</v>
      </c>
      <c r="O159" s="12" t="s">
        <v>493</v>
      </c>
      <c r="P159" s="27" t="s">
        <v>35</v>
      </c>
      <c r="Q159" s="17" t="s">
        <v>36</v>
      </c>
    </row>
    <row r="160" spans="1:17" ht="24.9" customHeight="1">
      <c r="A160" s="2" t="s">
        <v>16</v>
      </c>
      <c r="B160" s="11" t="s">
        <v>961</v>
      </c>
      <c r="C160" s="9" t="s">
        <v>962</v>
      </c>
      <c r="D160" s="9" t="s">
        <v>963</v>
      </c>
      <c r="E160" s="13" t="s">
        <v>964</v>
      </c>
      <c r="F160" s="13" t="s">
        <v>965</v>
      </c>
      <c r="G160" s="18">
        <v>480</v>
      </c>
      <c r="H160" s="14">
        <f t="shared" si="8"/>
        <v>360</v>
      </c>
      <c r="I160" s="18"/>
      <c r="J160" s="15">
        <f t="shared" si="9"/>
        <v>0</v>
      </c>
      <c r="K160" s="27" t="s">
        <v>349</v>
      </c>
      <c r="L160" s="16" t="str">
        <f t="shared" si="10"/>
        <v>9789864431991</v>
      </c>
      <c r="M160" s="28" t="str">
        <f t="shared" si="11"/>
        <v>https://search.books.com.tw/search/query/key/9789864431991</v>
      </c>
      <c r="N160" s="12" t="s">
        <v>33</v>
      </c>
      <c r="O160" s="12" t="s">
        <v>101</v>
      </c>
      <c r="P160" s="27" t="s">
        <v>35</v>
      </c>
      <c r="Q160" s="17" t="s">
        <v>36</v>
      </c>
    </row>
    <row r="161" spans="1:17" ht="24.9" customHeight="1">
      <c r="A161" s="2" t="s">
        <v>16</v>
      </c>
      <c r="B161" s="11" t="s">
        <v>966</v>
      </c>
      <c r="C161" s="9" t="s">
        <v>962</v>
      </c>
      <c r="D161" s="9" t="s">
        <v>967</v>
      </c>
      <c r="E161" s="13" t="s">
        <v>968</v>
      </c>
      <c r="F161" s="13" t="s">
        <v>969</v>
      </c>
      <c r="G161" s="18">
        <v>300</v>
      </c>
      <c r="H161" s="14">
        <f t="shared" si="8"/>
        <v>225</v>
      </c>
      <c r="I161" s="18"/>
      <c r="J161" s="15">
        <f t="shared" si="9"/>
        <v>0</v>
      </c>
      <c r="K161" s="27" t="s">
        <v>315</v>
      </c>
      <c r="L161" s="16" t="str">
        <f t="shared" si="10"/>
        <v>9789571165370</v>
      </c>
      <c r="M161" s="28" t="str">
        <f t="shared" si="11"/>
        <v>https://search.books.com.tw/search/query/key/9789571165370</v>
      </c>
      <c r="N161" s="12" t="s">
        <v>33</v>
      </c>
      <c r="O161" s="12" t="s">
        <v>101</v>
      </c>
      <c r="P161" s="27" t="s">
        <v>35</v>
      </c>
      <c r="Q161" s="17" t="s">
        <v>36</v>
      </c>
    </row>
    <row r="162" spans="1:17" ht="24.9" customHeight="1">
      <c r="A162" s="2" t="s">
        <v>16</v>
      </c>
      <c r="B162" s="11" t="s">
        <v>970</v>
      </c>
      <c r="C162" s="9" t="s">
        <v>962</v>
      </c>
      <c r="D162" s="9" t="s">
        <v>97</v>
      </c>
      <c r="E162" s="13" t="s">
        <v>971</v>
      </c>
      <c r="F162" s="13" t="s">
        <v>972</v>
      </c>
      <c r="G162" s="18">
        <v>350</v>
      </c>
      <c r="H162" s="14">
        <f t="shared" si="8"/>
        <v>263</v>
      </c>
      <c r="I162" s="18"/>
      <c r="J162" s="15">
        <f t="shared" si="9"/>
        <v>0</v>
      </c>
      <c r="K162" s="27" t="s">
        <v>100</v>
      </c>
      <c r="L162" s="16" t="str">
        <f t="shared" si="10"/>
        <v>9789861781495</v>
      </c>
      <c r="M162" s="28" t="str">
        <f t="shared" si="11"/>
        <v>https://search.books.com.tw/search/query/key/9789861781495</v>
      </c>
      <c r="N162" s="12" t="s">
        <v>33</v>
      </c>
      <c r="O162" s="12" t="s">
        <v>101</v>
      </c>
      <c r="P162" s="27" t="s">
        <v>35</v>
      </c>
      <c r="Q162" s="17" t="s">
        <v>36</v>
      </c>
    </row>
    <row r="163" spans="1:17" ht="24.9" customHeight="1">
      <c r="A163" s="2" t="s">
        <v>16</v>
      </c>
      <c r="B163" s="11" t="s">
        <v>973</v>
      </c>
      <c r="C163" s="9" t="s">
        <v>974</v>
      </c>
      <c r="D163" s="9" t="s">
        <v>975</v>
      </c>
      <c r="E163" s="13" t="s">
        <v>976</v>
      </c>
      <c r="F163" s="13" t="s">
        <v>977</v>
      </c>
      <c r="G163" s="18">
        <v>299</v>
      </c>
      <c r="H163" s="14">
        <f t="shared" si="8"/>
        <v>224</v>
      </c>
      <c r="I163" s="18"/>
      <c r="J163" s="15">
        <f t="shared" si="9"/>
        <v>0</v>
      </c>
      <c r="K163" s="27" t="s">
        <v>100</v>
      </c>
      <c r="L163" s="16" t="str">
        <f t="shared" si="10"/>
        <v>9789861784854</v>
      </c>
      <c r="M163" s="28" t="str">
        <f t="shared" si="11"/>
        <v>https://search.books.com.tw/search/query/key/9789861784854</v>
      </c>
      <c r="N163" s="12" t="s">
        <v>33</v>
      </c>
      <c r="O163" s="12" t="s">
        <v>913</v>
      </c>
      <c r="P163" s="27" t="s">
        <v>25</v>
      </c>
      <c r="Q163" s="17" t="s">
        <v>139</v>
      </c>
    </row>
    <row r="164" spans="1:17" ht="24.9" customHeight="1">
      <c r="A164" s="2" t="s">
        <v>16</v>
      </c>
      <c r="B164" s="11" t="s">
        <v>978</v>
      </c>
      <c r="C164" s="9" t="s">
        <v>979</v>
      </c>
      <c r="D164" s="9" t="s">
        <v>980</v>
      </c>
      <c r="E164" s="13" t="s">
        <v>981</v>
      </c>
      <c r="F164" s="13" t="s">
        <v>982</v>
      </c>
      <c r="G164" s="18">
        <v>450</v>
      </c>
      <c r="H164" s="14">
        <f t="shared" si="8"/>
        <v>338</v>
      </c>
      <c r="I164" s="18"/>
      <c r="J164" s="15">
        <f t="shared" si="9"/>
        <v>0</v>
      </c>
      <c r="K164" s="27" t="s">
        <v>349</v>
      </c>
      <c r="L164" s="16" t="str">
        <f t="shared" si="10"/>
        <v>9789864432608</v>
      </c>
      <c r="M164" s="28" t="str">
        <f t="shared" si="11"/>
        <v>https://search.books.com.tw/search/query/key/9789864432608</v>
      </c>
      <c r="N164" s="12" t="s">
        <v>33</v>
      </c>
      <c r="O164" s="12" t="s">
        <v>151</v>
      </c>
      <c r="P164" s="27" t="s">
        <v>35</v>
      </c>
      <c r="Q164" s="17" t="s">
        <v>36</v>
      </c>
    </row>
    <row r="165" spans="1:17" ht="24.9" customHeight="1">
      <c r="A165" s="2" t="s">
        <v>16</v>
      </c>
      <c r="B165" s="11" t="s">
        <v>983</v>
      </c>
      <c r="C165" s="9" t="s">
        <v>984</v>
      </c>
      <c r="D165" s="9" t="s">
        <v>985</v>
      </c>
      <c r="E165" s="13" t="s">
        <v>986</v>
      </c>
      <c r="F165" s="13" t="s">
        <v>987</v>
      </c>
      <c r="G165" s="18">
        <v>480</v>
      </c>
      <c r="H165" s="14">
        <f t="shared" si="8"/>
        <v>360</v>
      </c>
      <c r="I165" s="18"/>
      <c r="J165" s="15">
        <f t="shared" si="9"/>
        <v>0</v>
      </c>
      <c r="K165" s="27" t="s">
        <v>349</v>
      </c>
      <c r="L165" s="16" t="str">
        <f t="shared" si="10"/>
        <v>9789864431366</v>
      </c>
      <c r="M165" s="28" t="str">
        <f t="shared" si="11"/>
        <v>https://search.books.com.tw/search/query/key/9789864431366</v>
      </c>
      <c r="N165" s="12" t="s">
        <v>33</v>
      </c>
      <c r="O165" s="12" t="s">
        <v>988</v>
      </c>
      <c r="P165" s="27" t="s">
        <v>535</v>
      </c>
      <c r="Q165" s="17" t="s">
        <v>74</v>
      </c>
    </row>
    <row r="166" spans="1:17" ht="24.9" customHeight="1">
      <c r="A166" s="2" t="s">
        <v>16</v>
      </c>
      <c r="B166" s="11" t="s">
        <v>989</v>
      </c>
      <c r="C166" s="9" t="s">
        <v>990</v>
      </c>
      <c r="D166" s="9" t="s">
        <v>991</v>
      </c>
      <c r="E166" s="13" t="s">
        <v>992</v>
      </c>
      <c r="F166" s="13" t="s">
        <v>993</v>
      </c>
      <c r="G166" s="18">
        <v>380</v>
      </c>
      <c r="H166" s="14">
        <f t="shared" si="8"/>
        <v>285</v>
      </c>
      <c r="I166" s="18"/>
      <c r="J166" s="15">
        <f t="shared" si="9"/>
        <v>0</v>
      </c>
      <c r="K166" s="27" t="s">
        <v>315</v>
      </c>
      <c r="L166" s="16" t="str">
        <f t="shared" si="10"/>
        <v>9789571195919</v>
      </c>
      <c r="M166" s="28" t="str">
        <f t="shared" si="11"/>
        <v>https://search.books.com.tw/search/query/key/9789571195919</v>
      </c>
      <c r="N166" s="12" t="s">
        <v>33</v>
      </c>
      <c r="O166" s="12" t="s">
        <v>107</v>
      </c>
      <c r="P166" s="27" t="s">
        <v>35</v>
      </c>
      <c r="Q166" s="17" t="s">
        <v>36</v>
      </c>
    </row>
    <row r="167" spans="1:17" ht="24.9" customHeight="1">
      <c r="A167" s="2" t="s">
        <v>16</v>
      </c>
      <c r="B167" s="11" t="s">
        <v>994</v>
      </c>
      <c r="C167" s="9" t="s">
        <v>995</v>
      </c>
      <c r="D167" s="9" t="s">
        <v>996</v>
      </c>
      <c r="E167" s="13" t="s">
        <v>997</v>
      </c>
      <c r="F167" s="13" t="s">
        <v>998</v>
      </c>
      <c r="G167" s="18">
        <v>510</v>
      </c>
      <c r="H167" s="14">
        <f t="shared" si="8"/>
        <v>383</v>
      </c>
      <c r="I167" s="18"/>
      <c r="J167" s="15">
        <f t="shared" si="9"/>
        <v>0</v>
      </c>
      <c r="K167" s="27" t="s">
        <v>150</v>
      </c>
      <c r="L167" s="16" t="str">
        <f t="shared" si="10"/>
        <v>9789862624098</v>
      </c>
      <c r="M167" s="28" t="str">
        <f t="shared" si="11"/>
        <v>https://search.books.com.tw/search/query/key/9789862624098</v>
      </c>
      <c r="N167" s="12" t="s">
        <v>33</v>
      </c>
      <c r="O167" s="12" t="s">
        <v>999</v>
      </c>
      <c r="P167" s="27" t="s">
        <v>35</v>
      </c>
      <c r="Q167" s="17" t="s">
        <v>65</v>
      </c>
    </row>
    <row r="168" spans="1:17" ht="24.9" customHeight="1">
      <c r="A168" s="2" t="s">
        <v>16</v>
      </c>
      <c r="B168" s="11" t="s">
        <v>1000</v>
      </c>
      <c r="C168" s="9" t="s">
        <v>1001</v>
      </c>
      <c r="D168" s="9" t="s">
        <v>1002</v>
      </c>
      <c r="E168" s="13" t="s">
        <v>1003</v>
      </c>
      <c r="F168" s="13" t="s">
        <v>456</v>
      </c>
      <c r="G168" s="18">
        <v>300</v>
      </c>
      <c r="H168" s="14">
        <f t="shared" si="8"/>
        <v>225</v>
      </c>
      <c r="I168" s="18"/>
      <c r="J168" s="15">
        <f t="shared" si="9"/>
        <v>0</v>
      </c>
      <c r="K168" s="27" t="s">
        <v>119</v>
      </c>
      <c r="L168" s="16" t="str">
        <f t="shared" si="10"/>
        <v>9789864401086</v>
      </c>
      <c r="M168" s="28" t="str">
        <f t="shared" si="11"/>
        <v>https://search.books.com.tw/search/query/key/9789864401086</v>
      </c>
      <c r="N168" s="12" t="s">
        <v>43</v>
      </c>
      <c r="O168" s="12" t="s">
        <v>44</v>
      </c>
      <c r="P168" s="27" t="s">
        <v>45</v>
      </c>
      <c r="Q168" s="17" t="s">
        <v>46</v>
      </c>
    </row>
    <row r="169" spans="1:17" ht="24.9" customHeight="1">
      <c r="A169" s="2" t="s">
        <v>16</v>
      </c>
      <c r="B169" s="11" t="s">
        <v>1004</v>
      </c>
      <c r="C169" s="9" t="s">
        <v>1005</v>
      </c>
      <c r="D169" s="9" t="s">
        <v>916</v>
      </c>
      <c r="E169" s="13" t="s">
        <v>1006</v>
      </c>
      <c r="F169" s="13" t="s">
        <v>1007</v>
      </c>
      <c r="G169" s="18">
        <v>300</v>
      </c>
      <c r="H169" s="14">
        <f t="shared" si="8"/>
        <v>225</v>
      </c>
      <c r="I169" s="18"/>
      <c r="J169" s="15">
        <f t="shared" si="9"/>
        <v>0</v>
      </c>
      <c r="K169" s="27" t="s">
        <v>42</v>
      </c>
      <c r="L169" s="16" t="str">
        <f t="shared" si="10"/>
        <v>9789570839395</v>
      </c>
      <c r="M169" s="28" t="str">
        <f t="shared" si="11"/>
        <v>https://search.books.com.tw/search/query/key/9789570839395</v>
      </c>
      <c r="N169" s="12" t="s">
        <v>43</v>
      </c>
      <c r="O169" s="12" t="s">
        <v>44</v>
      </c>
      <c r="P169" s="27" t="s">
        <v>45</v>
      </c>
      <c r="Q169" s="17" t="s">
        <v>46</v>
      </c>
    </row>
    <row r="170" spans="1:17" ht="24.9" customHeight="1">
      <c r="A170" s="2" t="s">
        <v>16</v>
      </c>
      <c r="B170" s="11" t="s">
        <v>1008</v>
      </c>
      <c r="C170" s="9" t="s">
        <v>1009</v>
      </c>
      <c r="D170" s="9" t="s">
        <v>1010</v>
      </c>
      <c r="E170" s="13" t="s">
        <v>1011</v>
      </c>
      <c r="F170" s="13" t="s">
        <v>1012</v>
      </c>
      <c r="G170" s="18">
        <v>2880</v>
      </c>
      <c r="H170" s="14">
        <f t="shared" si="8"/>
        <v>2160</v>
      </c>
      <c r="I170" s="18"/>
      <c r="J170" s="15">
        <f t="shared" si="9"/>
        <v>0</v>
      </c>
      <c r="K170" s="27" t="s">
        <v>32</v>
      </c>
      <c r="L170" s="16" t="str">
        <f t="shared" si="10"/>
        <v>9789573244721</v>
      </c>
      <c r="M170" s="28" t="str">
        <f t="shared" si="11"/>
        <v>https://search.books.com.tw/search/query/key/9789573244721</v>
      </c>
      <c r="N170" s="12" t="s">
        <v>33</v>
      </c>
      <c r="O170" s="12" t="s">
        <v>463</v>
      </c>
      <c r="P170" s="27" t="s">
        <v>35</v>
      </c>
      <c r="Q170" s="17" t="s">
        <v>36</v>
      </c>
    </row>
    <row r="171" spans="1:17" ht="24.9" customHeight="1">
      <c r="A171" s="2" t="s">
        <v>16</v>
      </c>
      <c r="B171" s="11" t="s">
        <v>1013</v>
      </c>
      <c r="C171" s="9" t="s">
        <v>1014</v>
      </c>
      <c r="D171" s="9" t="s">
        <v>1015</v>
      </c>
      <c r="E171" s="13" t="s">
        <v>1016</v>
      </c>
      <c r="F171" s="13" t="s">
        <v>419</v>
      </c>
      <c r="G171" s="18">
        <v>360</v>
      </c>
      <c r="H171" s="14">
        <f t="shared" si="8"/>
        <v>270</v>
      </c>
      <c r="I171" s="18"/>
      <c r="J171" s="15">
        <f t="shared" si="9"/>
        <v>0</v>
      </c>
      <c r="K171" s="27" t="s">
        <v>63</v>
      </c>
      <c r="L171" s="16" t="str">
        <f t="shared" si="10"/>
        <v>9789578630932</v>
      </c>
      <c r="M171" s="28" t="str">
        <f t="shared" si="11"/>
        <v>https://search.books.com.tw/search/query/key/9789578630932</v>
      </c>
      <c r="N171" s="12" t="s">
        <v>33</v>
      </c>
      <c r="O171" s="12" t="s">
        <v>101</v>
      </c>
      <c r="P171" s="27" t="s">
        <v>35</v>
      </c>
      <c r="Q171" s="17" t="s">
        <v>36</v>
      </c>
    </row>
    <row r="172" spans="1:17" ht="24.9" customHeight="1">
      <c r="A172" s="2" t="s">
        <v>16</v>
      </c>
      <c r="B172" s="11" t="s">
        <v>1017</v>
      </c>
      <c r="C172" s="9" t="s">
        <v>1018</v>
      </c>
      <c r="D172" s="9" t="s">
        <v>1019</v>
      </c>
      <c r="E172" s="13" t="s">
        <v>1020</v>
      </c>
      <c r="F172" s="13" t="s">
        <v>1021</v>
      </c>
      <c r="G172" s="18">
        <v>400</v>
      </c>
      <c r="H172" s="14">
        <f t="shared" si="8"/>
        <v>300</v>
      </c>
      <c r="I172" s="18"/>
      <c r="J172" s="15">
        <f t="shared" si="9"/>
        <v>0</v>
      </c>
      <c r="K172" s="27" t="s">
        <v>63</v>
      </c>
      <c r="L172" s="16" t="str">
        <f t="shared" si="10"/>
        <v>9789869423397</v>
      </c>
      <c r="M172" s="28" t="str">
        <f t="shared" si="11"/>
        <v>https://search.books.com.tw/search/query/key/9789869423397</v>
      </c>
      <c r="N172" s="12" t="s">
        <v>33</v>
      </c>
      <c r="O172" s="12" t="s">
        <v>1022</v>
      </c>
      <c r="P172" s="27" t="s">
        <v>73</v>
      </c>
      <c r="Q172" s="17" t="s">
        <v>1023</v>
      </c>
    </row>
    <row r="173" spans="1:17" ht="24.9" customHeight="1">
      <c r="A173" s="2" t="s">
        <v>16</v>
      </c>
      <c r="B173" s="11" t="s">
        <v>1024</v>
      </c>
      <c r="C173" s="9" t="s">
        <v>1025</v>
      </c>
      <c r="D173" s="9" t="s">
        <v>1026</v>
      </c>
      <c r="E173" s="13" t="s">
        <v>1027</v>
      </c>
      <c r="F173" s="13" t="s">
        <v>1028</v>
      </c>
      <c r="G173" s="18">
        <v>380</v>
      </c>
      <c r="H173" s="14">
        <f t="shared" si="8"/>
        <v>285</v>
      </c>
      <c r="I173" s="18"/>
      <c r="J173" s="15">
        <f t="shared" si="9"/>
        <v>0</v>
      </c>
      <c r="K173" s="27" t="s">
        <v>80</v>
      </c>
      <c r="L173" s="16" t="str">
        <f t="shared" si="10"/>
        <v>9789862943120</v>
      </c>
      <c r="M173" s="28" t="str">
        <f t="shared" si="11"/>
        <v>https://search.books.com.tw/search/query/key/9789862943120</v>
      </c>
      <c r="N173" s="12" t="s">
        <v>1029</v>
      </c>
      <c r="O173" s="12" t="s">
        <v>746</v>
      </c>
      <c r="P173" s="27" t="s">
        <v>45</v>
      </c>
      <c r="Q173" s="17" t="s">
        <v>523</v>
      </c>
    </row>
    <row r="174" spans="1:17" ht="24.9" customHeight="1">
      <c r="A174" s="2" t="s">
        <v>16</v>
      </c>
      <c r="B174" s="11" t="s">
        <v>1030</v>
      </c>
      <c r="C174" s="9" t="s">
        <v>1031</v>
      </c>
      <c r="D174" s="9" t="s">
        <v>1032</v>
      </c>
      <c r="E174" s="13" t="s">
        <v>1033</v>
      </c>
      <c r="F174" s="13" t="s">
        <v>1034</v>
      </c>
      <c r="G174" s="18">
        <v>1500</v>
      </c>
      <c r="H174" s="14">
        <f t="shared" si="8"/>
        <v>1125</v>
      </c>
      <c r="I174" s="18"/>
      <c r="J174" s="15">
        <f t="shared" si="9"/>
        <v>0</v>
      </c>
      <c r="K174" s="27" t="s">
        <v>578</v>
      </c>
      <c r="L174" s="16" t="str">
        <f t="shared" si="10"/>
        <v>9789860537604</v>
      </c>
      <c r="M174" s="28" t="str">
        <f t="shared" si="11"/>
        <v>https://search.books.com.tw/search/query/key/9789860537604</v>
      </c>
      <c r="N174" s="12" t="s">
        <v>33</v>
      </c>
      <c r="O174" s="12" t="s">
        <v>1035</v>
      </c>
      <c r="P174" s="27" t="s">
        <v>35</v>
      </c>
      <c r="Q174" s="17" t="s">
        <v>65</v>
      </c>
    </row>
    <row r="175" spans="1:17" ht="24.9" customHeight="1">
      <c r="A175" s="2" t="s">
        <v>16</v>
      </c>
      <c r="B175" s="11" t="s">
        <v>1036</v>
      </c>
      <c r="C175" s="9" t="s">
        <v>1037</v>
      </c>
      <c r="D175" s="9" t="s">
        <v>1038</v>
      </c>
      <c r="E175" s="13" t="s">
        <v>1039</v>
      </c>
      <c r="F175" s="13" t="s">
        <v>1040</v>
      </c>
      <c r="G175" s="18">
        <v>420</v>
      </c>
      <c r="H175" s="14">
        <f t="shared" si="8"/>
        <v>315</v>
      </c>
      <c r="I175" s="18"/>
      <c r="J175" s="15">
        <f t="shared" si="9"/>
        <v>0</v>
      </c>
      <c r="K175" s="27" t="s">
        <v>267</v>
      </c>
      <c r="L175" s="16" t="str">
        <f t="shared" si="10"/>
        <v>9789860577792</v>
      </c>
      <c r="M175" s="28" t="str">
        <f t="shared" si="11"/>
        <v>https://search.books.com.tw/search/query/key/9789860577792</v>
      </c>
      <c r="N175" s="12" t="s">
        <v>33</v>
      </c>
      <c r="O175" s="12" t="s">
        <v>1041</v>
      </c>
      <c r="P175" s="27" t="s">
        <v>35</v>
      </c>
      <c r="Q175" s="17" t="s">
        <v>65</v>
      </c>
    </row>
    <row r="176" spans="1:17" ht="24.9" customHeight="1">
      <c r="A176" s="2" t="s">
        <v>16</v>
      </c>
      <c r="B176" s="11" t="s">
        <v>1042</v>
      </c>
      <c r="C176" s="9" t="s">
        <v>1043</v>
      </c>
      <c r="D176" s="9" t="s">
        <v>1044</v>
      </c>
      <c r="E176" s="13" t="s">
        <v>1045</v>
      </c>
      <c r="F176" s="13" t="s">
        <v>1046</v>
      </c>
      <c r="G176" s="18">
        <v>360</v>
      </c>
      <c r="H176" s="14">
        <f t="shared" si="8"/>
        <v>270</v>
      </c>
      <c r="I176" s="18"/>
      <c r="J176" s="15">
        <f t="shared" si="9"/>
        <v>0</v>
      </c>
      <c r="K176" s="27" t="s">
        <v>711</v>
      </c>
      <c r="L176" s="16" t="str">
        <f t="shared" si="10"/>
        <v>9789577519191</v>
      </c>
      <c r="M176" s="28" t="str">
        <f t="shared" si="11"/>
        <v>https://search.books.com.tw/search/query/key/9789577519191</v>
      </c>
      <c r="N176" s="12" t="s">
        <v>1047</v>
      </c>
      <c r="O176" s="12" t="s">
        <v>238</v>
      </c>
      <c r="P176" s="27" t="s">
        <v>45</v>
      </c>
      <c r="Q176" s="17" t="s">
        <v>713</v>
      </c>
    </row>
    <row r="177" spans="1:17" ht="24.9" customHeight="1">
      <c r="A177" s="2" t="s">
        <v>16</v>
      </c>
      <c r="B177" s="11" t="s">
        <v>1048</v>
      </c>
      <c r="C177" s="9" t="s">
        <v>1049</v>
      </c>
      <c r="D177" s="9" t="s">
        <v>1050</v>
      </c>
      <c r="E177" s="13" t="s">
        <v>1051</v>
      </c>
      <c r="F177" s="13" t="s">
        <v>1052</v>
      </c>
      <c r="G177" s="18">
        <v>280</v>
      </c>
      <c r="H177" s="14">
        <f t="shared" si="8"/>
        <v>210</v>
      </c>
      <c r="I177" s="18"/>
      <c r="J177" s="15">
        <f t="shared" si="9"/>
        <v>0</v>
      </c>
      <c r="K177" s="27" t="s">
        <v>1053</v>
      </c>
      <c r="L177" s="16" t="str">
        <f t="shared" si="10"/>
        <v>9789571065519</v>
      </c>
      <c r="M177" s="28" t="str">
        <f t="shared" si="11"/>
        <v>https://search.books.com.tw/search/query/key/9789571065519</v>
      </c>
      <c r="N177" s="12" t="s">
        <v>33</v>
      </c>
      <c r="O177" s="12" t="s">
        <v>81</v>
      </c>
      <c r="P177" s="27" t="s">
        <v>35</v>
      </c>
      <c r="Q177" s="17" t="s">
        <v>36</v>
      </c>
    </row>
    <row r="178" spans="1:17" ht="24.9" customHeight="1">
      <c r="A178" s="2" t="s">
        <v>16</v>
      </c>
      <c r="B178" s="11" t="s">
        <v>1054</v>
      </c>
      <c r="C178" s="9" t="s">
        <v>1055</v>
      </c>
      <c r="D178" s="9" t="s">
        <v>1056</v>
      </c>
      <c r="E178" s="13" t="s">
        <v>1057</v>
      </c>
      <c r="F178" s="13" t="s">
        <v>1058</v>
      </c>
      <c r="G178" s="18">
        <v>280</v>
      </c>
      <c r="H178" s="14">
        <f t="shared" si="8"/>
        <v>210</v>
      </c>
      <c r="I178" s="18"/>
      <c r="J178" s="15">
        <f t="shared" si="9"/>
        <v>0</v>
      </c>
      <c r="K178" s="27" t="s">
        <v>361</v>
      </c>
      <c r="L178" s="16" t="str">
        <f t="shared" si="10"/>
        <v>9789861372242</v>
      </c>
      <c r="M178" s="28" t="str">
        <f t="shared" si="11"/>
        <v>https://search.books.com.tw/search/query/key/9789861372242</v>
      </c>
      <c r="N178" s="12" t="s">
        <v>33</v>
      </c>
      <c r="O178" s="12" t="s">
        <v>101</v>
      </c>
      <c r="P178" s="27" t="s">
        <v>35</v>
      </c>
      <c r="Q178" s="17" t="s">
        <v>36</v>
      </c>
    </row>
    <row r="179" spans="1:17" ht="24.9" customHeight="1">
      <c r="A179" s="2" t="s">
        <v>16</v>
      </c>
      <c r="B179" s="11" t="s">
        <v>1059</v>
      </c>
      <c r="C179" s="9" t="s">
        <v>1060</v>
      </c>
      <c r="D179" s="9" t="s">
        <v>1061</v>
      </c>
      <c r="E179" s="13" t="s">
        <v>1062</v>
      </c>
      <c r="F179" s="13" t="s">
        <v>1063</v>
      </c>
      <c r="G179" s="18">
        <v>12500</v>
      </c>
      <c r="H179" s="14">
        <f t="shared" si="8"/>
        <v>9375</v>
      </c>
      <c r="I179" s="18"/>
      <c r="J179" s="15">
        <f t="shared" si="9"/>
        <v>0</v>
      </c>
      <c r="K179" s="27" t="s">
        <v>391</v>
      </c>
      <c r="L179" s="16" t="str">
        <f t="shared" si="10"/>
        <v>9789866543258</v>
      </c>
      <c r="M179" s="28" t="str">
        <f t="shared" si="11"/>
        <v>https://search.books.com.tw/search/query/key/9789866543258</v>
      </c>
      <c r="N179" s="12" t="s">
        <v>33</v>
      </c>
      <c r="O179" s="12"/>
      <c r="P179" s="27" t="s">
        <v>35</v>
      </c>
      <c r="Q179" s="17" t="s">
        <v>36</v>
      </c>
    </row>
    <row r="180" spans="1:17" ht="24.9" customHeight="1">
      <c r="A180" s="2" t="s">
        <v>16</v>
      </c>
      <c r="B180" s="11" t="s">
        <v>1064</v>
      </c>
      <c r="C180" s="9" t="s">
        <v>1065</v>
      </c>
      <c r="D180" s="9" t="s">
        <v>1066</v>
      </c>
      <c r="E180" s="13" t="s">
        <v>1067</v>
      </c>
      <c r="F180" s="13" t="s">
        <v>1068</v>
      </c>
      <c r="G180" s="18">
        <v>320</v>
      </c>
      <c r="H180" s="14">
        <f t="shared" si="8"/>
        <v>240</v>
      </c>
      <c r="I180" s="18"/>
      <c r="J180" s="15">
        <f t="shared" si="9"/>
        <v>0</v>
      </c>
      <c r="K180" s="27" t="s">
        <v>1069</v>
      </c>
      <c r="L180" s="16" t="str">
        <f t="shared" si="10"/>
        <v>9789869656931</v>
      </c>
      <c r="M180" s="28" t="str">
        <f t="shared" si="11"/>
        <v>https://search.books.com.tw/search/query/key/9789869656931</v>
      </c>
      <c r="N180" s="12" t="s">
        <v>33</v>
      </c>
      <c r="O180" s="12" t="s">
        <v>1070</v>
      </c>
      <c r="P180" s="27" t="s">
        <v>25</v>
      </c>
      <c r="Q180" s="17" t="s">
        <v>139</v>
      </c>
    </row>
    <row r="181" spans="1:17" ht="24.9" customHeight="1">
      <c r="A181" s="2" t="s">
        <v>16</v>
      </c>
      <c r="B181" s="11" t="s">
        <v>1071</v>
      </c>
      <c r="C181" s="9" t="s">
        <v>1072</v>
      </c>
      <c r="D181" s="9" t="s">
        <v>1073</v>
      </c>
      <c r="E181" s="13" t="s">
        <v>1074</v>
      </c>
      <c r="F181" s="13" t="s">
        <v>1075</v>
      </c>
      <c r="G181" s="18">
        <v>450</v>
      </c>
      <c r="H181" s="14">
        <f t="shared" si="8"/>
        <v>338</v>
      </c>
      <c r="I181" s="18"/>
      <c r="J181" s="15">
        <f t="shared" si="9"/>
        <v>0</v>
      </c>
      <c r="K181" s="27" t="s">
        <v>32</v>
      </c>
      <c r="L181" s="16" t="str">
        <f t="shared" si="10"/>
        <v>9789860552744</v>
      </c>
      <c r="M181" s="28" t="str">
        <f t="shared" si="11"/>
        <v>https://search.books.com.tw/search/query/key/9789860552744</v>
      </c>
      <c r="N181" s="12" t="s">
        <v>33</v>
      </c>
      <c r="O181" s="12" t="s">
        <v>197</v>
      </c>
      <c r="P181" s="27" t="s">
        <v>35</v>
      </c>
      <c r="Q181" s="17" t="s">
        <v>36</v>
      </c>
    </row>
    <row r="182" spans="1:17" ht="24.9" customHeight="1">
      <c r="A182" s="2" t="s">
        <v>16</v>
      </c>
      <c r="B182" s="11" t="s">
        <v>1076</v>
      </c>
      <c r="C182" s="9" t="s">
        <v>1077</v>
      </c>
      <c r="D182" s="9" t="s">
        <v>201</v>
      </c>
      <c r="E182" s="13" t="s">
        <v>1078</v>
      </c>
      <c r="F182" s="13" t="s">
        <v>1079</v>
      </c>
      <c r="G182" s="18">
        <v>450</v>
      </c>
      <c r="H182" s="14">
        <f t="shared" si="8"/>
        <v>338</v>
      </c>
      <c r="I182" s="18"/>
      <c r="J182" s="15">
        <f t="shared" si="9"/>
        <v>0</v>
      </c>
      <c r="K182" s="27" t="s">
        <v>42</v>
      </c>
      <c r="L182" s="16" t="str">
        <f t="shared" si="10"/>
        <v>9789570878059</v>
      </c>
      <c r="M182" s="28" t="str">
        <f t="shared" si="11"/>
        <v>https://search.books.com.tw/search/query/key/9789570878059</v>
      </c>
      <c r="N182" s="12" t="s">
        <v>23</v>
      </c>
      <c r="O182" s="12" t="s">
        <v>101</v>
      </c>
      <c r="P182" s="27" t="s">
        <v>35</v>
      </c>
      <c r="Q182" s="17" t="s">
        <v>198</v>
      </c>
    </row>
    <row r="183" spans="1:17" ht="24.9" customHeight="1">
      <c r="A183" s="2" t="s">
        <v>16</v>
      </c>
      <c r="B183" s="11" t="s">
        <v>1080</v>
      </c>
      <c r="C183" s="9" t="s">
        <v>1081</v>
      </c>
      <c r="D183" s="9" t="s">
        <v>484</v>
      </c>
      <c r="E183" s="13" t="s">
        <v>1082</v>
      </c>
      <c r="F183" s="13" t="s">
        <v>1083</v>
      </c>
      <c r="G183" s="18">
        <v>300</v>
      </c>
      <c r="H183" s="14">
        <f t="shared" si="8"/>
        <v>225</v>
      </c>
      <c r="I183" s="18"/>
      <c r="J183" s="15">
        <f t="shared" si="9"/>
        <v>0</v>
      </c>
      <c r="K183" s="27" t="s">
        <v>157</v>
      </c>
      <c r="L183" s="16" t="str">
        <f t="shared" si="10"/>
        <v>9789571198835</v>
      </c>
      <c r="M183" s="28" t="str">
        <f t="shared" si="11"/>
        <v>https://search.books.com.tw/search/query/key/9789571198835</v>
      </c>
      <c r="N183" s="12" t="s">
        <v>23</v>
      </c>
      <c r="O183" s="12" t="s">
        <v>1084</v>
      </c>
      <c r="P183" s="27" t="s">
        <v>535</v>
      </c>
      <c r="Q183" s="17" t="s">
        <v>74</v>
      </c>
    </row>
    <row r="184" spans="1:17" ht="24.9" customHeight="1">
      <c r="A184" s="2" t="s">
        <v>16</v>
      </c>
      <c r="B184" s="11" t="s">
        <v>1085</v>
      </c>
      <c r="C184" s="9" t="s">
        <v>1086</v>
      </c>
      <c r="D184" s="9" t="s">
        <v>1087</v>
      </c>
      <c r="E184" s="13" t="s">
        <v>1088</v>
      </c>
      <c r="F184" s="13" t="s">
        <v>1089</v>
      </c>
      <c r="G184" s="18">
        <v>630</v>
      </c>
      <c r="H184" s="14">
        <f t="shared" si="8"/>
        <v>473</v>
      </c>
      <c r="I184" s="18"/>
      <c r="J184" s="15">
        <f t="shared" si="9"/>
        <v>0</v>
      </c>
      <c r="K184" s="27" t="s">
        <v>541</v>
      </c>
      <c r="L184" s="16" t="str">
        <f t="shared" si="10"/>
        <v>9789869533447</v>
      </c>
      <c r="M184" s="28" t="str">
        <f t="shared" si="11"/>
        <v>https://search.books.com.tw/search/query/key/9789869533447</v>
      </c>
      <c r="N184" s="12" t="s">
        <v>33</v>
      </c>
      <c r="O184" s="12" t="s">
        <v>1090</v>
      </c>
      <c r="P184" s="27" t="s">
        <v>535</v>
      </c>
      <c r="Q184" s="17" t="s">
        <v>74</v>
      </c>
    </row>
    <row r="185" spans="1:17" ht="24.9" customHeight="1">
      <c r="A185" s="2" t="s">
        <v>16</v>
      </c>
      <c r="B185" s="11" t="s">
        <v>1091</v>
      </c>
      <c r="C185" s="9" t="s">
        <v>1092</v>
      </c>
      <c r="D185" s="9" t="s">
        <v>1093</v>
      </c>
      <c r="E185" s="13" t="s">
        <v>1094</v>
      </c>
      <c r="F185" s="13" t="s">
        <v>1095</v>
      </c>
      <c r="G185" s="18">
        <v>360</v>
      </c>
      <c r="H185" s="14">
        <f t="shared" si="8"/>
        <v>270</v>
      </c>
      <c r="I185" s="18"/>
      <c r="J185" s="15">
        <f t="shared" si="9"/>
        <v>0</v>
      </c>
      <c r="K185" s="27" t="s">
        <v>315</v>
      </c>
      <c r="L185" s="16" t="str">
        <f t="shared" si="10"/>
        <v>9789571174839</v>
      </c>
      <c r="M185" s="28" t="str">
        <f t="shared" si="11"/>
        <v>https://search.books.com.tw/search/query/key/9789571174839</v>
      </c>
      <c r="N185" s="12" t="s">
        <v>33</v>
      </c>
      <c r="O185" s="12" t="s">
        <v>1096</v>
      </c>
      <c r="P185" s="27" t="s">
        <v>35</v>
      </c>
      <c r="Q185" s="17" t="s">
        <v>36</v>
      </c>
    </row>
    <row r="186" spans="1:17" ht="24.9" customHeight="1">
      <c r="A186" s="2" t="s">
        <v>16</v>
      </c>
      <c r="B186" s="11" t="s">
        <v>1097</v>
      </c>
      <c r="C186" s="9" t="s">
        <v>1098</v>
      </c>
      <c r="D186" s="9" t="s">
        <v>1099</v>
      </c>
      <c r="E186" s="13" t="s">
        <v>1100</v>
      </c>
      <c r="F186" s="13" t="s">
        <v>1101</v>
      </c>
      <c r="G186" s="18">
        <v>280</v>
      </c>
      <c r="H186" s="14">
        <f t="shared" si="8"/>
        <v>210</v>
      </c>
      <c r="I186" s="18"/>
      <c r="J186" s="15">
        <f t="shared" si="9"/>
        <v>0</v>
      </c>
      <c r="K186" s="27" t="s">
        <v>42</v>
      </c>
      <c r="L186" s="16" t="str">
        <f t="shared" si="10"/>
        <v>9789860428308</v>
      </c>
      <c r="M186" s="28" t="str">
        <f t="shared" si="11"/>
        <v>https://search.books.com.tw/search/query/key/9789860428308</v>
      </c>
      <c r="N186" s="12" t="s">
        <v>43</v>
      </c>
      <c r="O186" s="12" t="s">
        <v>44</v>
      </c>
      <c r="P186" s="27" t="s">
        <v>45</v>
      </c>
      <c r="Q186" s="17" t="s">
        <v>46</v>
      </c>
    </row>
    <row r="187" spans="1:17" ht="24.9" customHeight="1">
      <c r="A187" s="2" t="s">
        <v>16</v>
      </c>
      <c r="B187" s="11" t="s">
        <v>1102</v>
      </c>
      <c r="C187" s="9" t="s">
        <v>1103</v>
      </c>
      <c r="D187" s="9" t="s">
        <v>1104</v>
      </c>
      <c r="E187" s="13" t="s">
        <v>1105</v>
      </c>
      <c r="F187" s="13" t="s">
        <v>1106</v>
      </c>
      <c r="G187" s="18">
        <v>300</v>
      </c>
      <c r="H187" s="14">
        <f t="shared" si="8"/>
        <v>225</v>
      </c>
      <c r="I187" s="18"/>
      <c r="J187" s="15">
        <f t="shared" si="9"/>
        <v>0</v>
      </c>
      <c r="K187" s="27" t="s">
        <v>1107</v>
      </c>
      <c r="L187" s="16" t="str">
        <f t="shared" si="10"/>
        <v>9789869300766</v>
      </c>
      <c r="M187" s="28" t="str">
        <f t="shared" si="11"/>
        <v>https://search.books.com.tw/search/query/key/9789869300766</v>
      </c>
      <c r="N187" s="12" t="s">
        <v>43</v>
      </c>
      <c r="O187" s="12" t="s">
        <v>44</v>
      </c>
      <c r="P187" s="27" t="s">
        <v>45</v>
      </c>
      <c r="Q187" s="17" t="s">
        <v>46</v>
      </c>
    </row>
    <row r="188" spans="1:17" ht="24.9" customHeight="1">
      <c r="A188" s="2" t="s">
        <v>16</v>
      </c>
      <c r="B188" s="11" t="s">
        <v>1108</v>
      </c>
      <c r="C188" s="9" t="s">
        <v>1109</v>
      </c>
      <c r="D188" s="9" t="s">
        <v>352</v>
      </c>
      <c r="E188" s="13" t="s">
        <v>1110</v>
      </c>
      <c r="F188" s="13" t="s">
        <v>1111</v>
      </c>
      <c r="G188" s="18">
        <v>280</v>
      </c>
      <c r="H188" s="14">
        <f t="shared" si="8"/>
        <v>210</v>
      </c>
      <c r="I188" s="18"/>
      <c r="J188" s="15">
        <f t="shared" si="9"/>
        <v>0</v>
      </c>
      <c r="K188" s="27" t="s">
        <v>596</v>
      </c>
      <c r="L188" s="16" t="str">
        <f t="shared" si="10"/>
        <v>9789862133927</v>
      </c>
      <c r="M188" s="28" t="str">
        <f t="shared" si="11"/>
        <v>https://search.books.com.tw/search/query/key/9789862133927</v>
      </c>
      <c r="N188" s="12" t="s">
        <v>33</v>
      </c>
      <c r="O188" s="12" t="s">
        <v>316</v>
      </c>
      <c r="P188" s="27" t="s">
        <v>35</v>
      </c>
      <c r="Q188" s="17" t="s">
        <v>36</v>
      </c>
    </row>
    <row r="189" spans="1:17" ht="24.9" customHeight="1">
      <c r="A189" s="2" t="s">
        <v>16</v>
      </c>
      <c r="B189" s="11" t="s">
        <v>1112</v>
      </c>
      <c r="C189" s="9" t="s">
        <v>1113</v>
      </c>
      <c r="D189" s="9" t="s">
        <v>1114</v>
      </c>
      <c r="E189" s="13" t="s">
        <v>1115</v>
      </c>
      <c r="F189" s="13" t="s">
        <v>1116</v>
      </c>
      <c r="G189" s="18">
        <v>400</v>
      </c>
      <c r="H189" s="14">
        <f t="shared" si="8"/>
        <v>300</v>
      </c>
      <c r="I189" s="18"/>
      <c r="J189" s="15">
        <f t="shared" si="9"/>
        <v>0</v>
      </c>
      <c r="K189" s="27" t="s">
        <v>281</v>
      </c>
      <c r="L189" s="16" t="str">
        <f t="shared" si="10"/>
        <v>9789578018501</v>
      </c>
      <c r="M189" s="28" t="str">
        <f t="shared" si="11"/>
        <v>https://search.books.com.tw/search/query/key/9789578018501</v>
      </c>
      <c r="N189" s="12" t="s">
        <v>43</v>
      </c>
      <c r="O189" s="12" t="s">
        <v>1117</v>
      </c>
      <c r="P189" s="27" t="s">
        <v>45</v>
      </c>
      <c r="Q189" s="17" t="s">
        <v>52</v>
      </c>
    </row>
    <row r="190" spans="1:17" ht="24.9" customHeight="1">
      <c r="A190" s="2" t="s">
        <v>16</v>
      </c>
      <c r="B190" s="11" t="s">
        <v>1118</v>
      </c>
      <c r="C190" s="9" t="s">
        <v>1119</v>
      </c>
      <c r="D190" s="9" t="s">
        <v>39</v>
      </c>
      <c r="E190" s="13" t="s">
        <v>1120</v>
      </c>
      <c r="F190" s="13" t="s">
        <v>1121</v>
      </c>
      <c r="G190" s="18">
        <v>300</v>
      </c>
      <c r="H190" s="14">
        <f t="shared" si="8"/>
        <v>225</v>
      </c>
      <c r="I190" s="18"/>
      <c r="J190" s="15">
        <f t="shared" si="9"/>
        <v>0</v>
      </c>
      <c r="K190" s="27" t="s">
        <v>42</v>
      </c>
      <c r="L190" s="16" t="str">
        <f t="shared" si="10"/>
        <v>9789570839425</v>
      </c>
      <c r="M190" s="28" t="str">
        <f t="shared" si="11"/>
        <v>https://search.books.com.tw/search/query/key/9789570839425</v>
      </c>
      <c r="N190" s="12" t="s">
        <v>43</v>
      </c>
      <c r="O190" s="12" t="s">
        <v>44</v>
      </c>
      <c r="P190" s="27" t="s">
        <v>45</v>
      </c>
      <c r="Q190" s="17" t="s">
        <v>36</v>
      </c>
    </row>
    <row r="191" spans="1:17" ht="24.9" customHeight="1">
      <c r="A191" s="2" t="s">
        <v>16</v>
      </c>
      <c r="B191" s="11" t="s">
        <v>1122</v>
      </c>
      <c r="C191" s="9" t="s">
        <v>1123</v>
      </c>
      <c r="D191" s="9" t="s">
        <v>1050</v>
      </c>
      <c r="E191" s="13" t="s">
        <v>1124</v>
      </c>
      <c r="F191" s="13" t="s">
        <v>1125</v>
      </c>
      <c r="G191" s="18">
        <v>300</v>
      </c>
      <c r="H191" s="14">
        <f t="shared" si="8"/>
        <v>225</v>
      </c>
      <c r="I191" s="18"/>
      <c r="J191" s="15">
        <f t="shared" si="9"/>
        <v>0</v>
      </c>
      <c r="K191" s="27" t="s">
        <v>1053</v>
      </c>
      <c r="L191" s="16" t="str">
        <f t="shared" si="10"/>
        <v>9789571081618</v>
      </c>
      <c r="M191" s="28" t="str">
        <f t="shared" si="11"/>
        <v>https://search.books.com.tw/search/query/key/9789571081618</v>
      </c>
      <c r="N191" s="12" t="s">
        <v>33</v>
      </c>
      <c r="O191" s="12" t="s">
        <v>81</v>
      </c>
      <c r="P191" s="27" t="s">
        <v>35</v>
      </c>
      <c r="Q191" s="17" t="s">
        <v>36</v>
      </c>
    </row>
    <row r="192" spans="1:17" ht="24.9" customHeight="1">
      <c r="A192" s="2" t="s">
        <v>16</v>
      </c>
      <c r="B192" s="11" t="s">
        <v>1126</v>
      </c>
      <c r="C192" s="9" t="s">
        <v>1127</v>
      </c>
      <c r="D192" s="9" t="s">
        <v>1128</v>
      </c>
      <c r="E192" s="13" t="s">
        <v>1129</v>
      </c>
      <c r="F192" s="13" t="s">
        <v>1130</v>
      </c>
      <c r="G192" s="18">
        <v>420</v>
      </c>
      <c r="H192" s="14">
        <f t="shared" si="8"/>
        <v>315</v>
      </c>
      <c r="I192" s="18"/>
      <c r="J192" s="15">
        <f t="shared" si="9"/>
        <v>0</v>
      </c>
      <c r="K192" s="27" t="s">
        <v>1069</v>
      </c>
      <c r="L192" s="16" t="str">
        <f t="shared" si="10"/>
        <v>9789869051842</v>
      </c>
      <c r="M192" s="28" t="str">
        <f t="shared" si="11"/>
        <v>https://search.books.com.tw/search/query/key/9789869051842</v>
      </c>
      <c r="N192" s="12" t="s">
        <v>33</v>
      </c>
      <c r="O192" s="12" t="s">
        <v>94</v>
      </c>
      <c r="P192" s="27" t="s">
        <v>35</v>
      </c>
      <c r="Q192" s="17" t="s">
        <v>36</v>
      </c>
    </row>
    <row r="193" spans="1:17" ht="24.9" customHeight="1">
      <c r="A193" s="2" t="s">
        <v>16</v>
      </c>
      <c r="B193" s="11" t="s">
        <v>1131</v>
      </c>
      <c r="C193" s="9" t="s">
        <v>1132</v>
      </c>
      <c r="D193" s="9" t="s">
        <v>1133</v>
      </c>
      <c r="E193" s="13" t="s">
        <v>1134</v>
      </c>
      <c r="F193" s="13" t="s">
        <v>1135</v>
      </c>
      <c r="G193" s="18">
        <v>490</v>
      </c>
      <c r="H193" s="14">
        <f t="shared" si="8"/>
        <v>368</v>
      </c>
      <c r="I193" s="18"/>
      <c r="J193" s="15">
        <f t="shared" si="9"/>
        <v>0</v>
      </c>
      <c r="K193" s="27" t="s">
        <v>80</v>
      </c>
      <c r="L193" s="16" t="str">
        <f t="shared" si="10"/>
        <v>9789866789830</v>
      </c>
      <c r="M193" s="28" t="str">
        <f t="shared" si="11"/>
        <v>https://search.books.com.tw/search/query/key/9789866789830</v>
      </c>
      <c r="N193" s="12" t="s">
        <v>33</v>
      </c>
      <c r="O193" s="12" t="s">
        <v>101</v>
      </c>
      <c r="P193" s="27" t="s">
        <v>35</v>
      </c>
      <c r="Q193" s="17" t="s">
        <v>36</v>
      </c>
    </row>
    <row r="194" spans="1:17" ht="24.9" customHeight="1">
      <c r="A194" s="2"/>
      <c r="B194" s="11" t="s">
        <v>1136</v>
      </c>
      <c r="C194" s="9" t="s">
        <v>1137</v>
      </c>
      <c r="D194" s="12" t="s">
        <v>1138</v>
      </c>
      <c r="E194" s="13" t="s">
        <v>1139</v>
      </c>
      <c r="F194" s="13" t="s">
        <v>1140</v>
      </c>
      <c r="G194" s="14">
        <v>400</v>
      </c>
      <c r="H194" s="14">
        <f t="shared" ref="H194:H257" si="12">ROUND(G194*75%,0)</f>
        <v>300</v>
      </c>
      <c r="I194" s="14"/>
      <c r="J194" s="15">
        <f t="shared" ref="J194:J257" si="13">H194*I194</f>
        <v>0</v>
      </c>
      <c r="K194" s="12" t="s">
        <v>132</v>
      </c>
      <c r="L194" s="16" t="str">
        <f t="shared" ref="L194:L257" si="14">HYPERLINK(M194,E194)</f>
        <v>9789576968310</v>
      </c>
      <c r="M194" s="29" t="str">
        <f t="shared" ref="M194:M257" si="15">"https://search.books.com.tw/search/query/key/"&amp;E194</f>
        <v>https://search.books.com.tw/search/query/key/9789576968310</v>
      </c>
      <c r="N194" s="12" t="s">
        <v>33</v>
      </c>
      <c r="O194" s="12"/>
      <c r="P194" s="12" t="s">
        <v>25</v>
      </c>
      <c r="Q194" s="17" t="s">
        <v>139</v>
      </c>
    </row>
    <row r="195" spans="1:17" ht="24.9" customHeight="1">
      <c r="A195" s="2"/>
      <c r="B195" s="11" t="s">
        <v>1141</v>
      </c>
      <c r="C195" s="9" t="s">
        <v>1142</v>
      </c>
      <c r="D195" s="12" t="s">
        <v>1143</v>
      </c>
      <c r="E195" s="13" t="s">
        <v>1144</v>
      </c>
      <c r="F195" s="13" t="s">
        <v>1140</v>
      </c>
      <c r="G195" s="14">
        <v>400</v>
      </c>
      <c r="H195" s="14">
        <f t="shared" si="12"/>
        <v>300</v>
      </c>
      <c r="I195" s="14"/>
      <c r="J195" s="15">
        <f t="shared" si="13"/>
        <v>0</v>
      </c>
      <c r="K195" s="12" t="s">
        <v>132</v>
      </c>
      <c r="L195" s="16" t="str">
        <f t="shared" si="14"/>
        <v>9789576968297</v>
      </c>
      <c r="M195" s="29" t="str">
        <f t="shared" si="15"/>
        <v>https://search.books.com.tw/search/query/key/9789576968297</v>
      </c>
      <c r="N195" s="12" t="s">
        <v>43</v>
      </c>
      <c r="O195" s="12"/>
      <c r="P195" s="12" t="s">
        <v>25</v>
      </c>
      <c r="Q195" s="17" t="s">
        <v>139</v>
      </c>
    </row>
    <row r="196" spans="1:17" ht="24.9" customHeight="1">
      <c r="A196" s="2"/>
      <c r="B196" s="11" t="s">
        <v>1145</v>
      </c>
      <c r="C196" s="9" t="s">
        <v>1146</v>
      </c>
      <c r="D196" s="12" t="s">
        <v>1147</v>
      </c>
      <c r="E196" s="13" t="s">
        <v>1148</v>
      </c>
      <c r="F196" s="13" t="s">
        <v>1140</v>
      </c>
      <c r="G196" s="14">
        <v>400</v>
      </c>
      <c r="H196" s="14">
        <f t="shared" si="12"/>
        <v>300</v>
      </c>
      <c r="I196" s="14"/>
      <c r="J196" s="15">
        <f t="shared" si="13"/>
        <v>0</v>
      </c>
      <c r="K196" s="12" t="s">
        <v>132</v>
      </c>
      <c r="L196" s="16" t="str">
        <f t="shared" si="14"/>
        <v>9789576968266</v>
      </c>
      <c r="M196" s="29" t="str">
        <f t="shared" si="15"/>
        <v>https://search.books.com.tw/search/query/key/9789576968266</v>
      </c>
      <c r="N196" s="12" t="s">
        <v>33</v>
      </c>
      <c r="O196" s="12"/>
      <c r="P196" s="12" t="s">
        <v>25</v>
      </c>
      <c r="Q196" s="17" t="s">
        <v>139</v>
      </c>
    </row>
    <row r="197" spans="1:17" ht="24.9" customHeight="1">
      <c r="A197" s="2"/>
      <c r="B197" s="11" t="s">
        <v>1149</v>
      </c>
      <c r="C197" s="9" t="s">
        <v>1150</v>
      </c>
      <c r="D197" s="12" t="s">
        <v>1151</v>
      </c>
      <c r="E197" s="13" t="s">
        <v>1152</v>
      </c>
      <c r="F197" s="13" t="s">
        <v>1153</v>
      </c>
      <c r="G197" s="14">
        <v>1260</v>
      </c>
      <c r="H197" s="14">
        <f t="shared" si="12"/>
        <v>945</v>
      </c>
      <c r="I197" s="14"/>
      <c r="J197" s="15">
        <f t="shared" si="13"/>
        <v>0</v>
      </c>
      <c r="K197" s="12" t="s">
        <v>832</v>
      </c>
      <c r="L197" s="16" t="str">
        <f t="shared" si="14"/>
        <v>9786263146273</v>
      </c>
      <c r="M197" s="29" t="str">
        <f t="shared" si="15"/>
        <v>https://search.books.com.tw/search/query/key/9786263146273</v>
      </c>
      <c r="N197" s="12" t="s">
        <v>33</v>
      </c>
      <c r="O197" s="12"/>
      <c r="P197" s="12" t="s">
        <v>45</v>
      </c>
      <c r="Q197" s="17" t="s">
        <v>1154</v>
      </c>
    </row>
    <row r="198" spans="1:17" ht="24.9" customHeight="1">
      <c r="A198" s="2"/>
      <c r="B198" s="11" t="s">
        <v>1155</v>
      </c>
      <c r="C198" s="9"/>
      <c r="D198" s="12"/>
      <c r="E198" s="13"/>
      <c r="F198" s="13"/>
      <c r="G198" s="14"/>
      <c r="H198" s="14">
        <f t="shared" si="12"/>
        <v>0</v>
      </c>
      <c r="I198" s="14"/>
      <c r="J198" s="15">
        <f t="shared" si="13"/>
        <v>0</v>
      </c>
      <c r="K198" s="12"/>
      <c r="L198" s="16">
        <f t="shared" si="14"/>
        <v>0</v>
      </c>
      <c r="M198" s="29" t="str">
        <f t="shared" si="15"/>
        <v>https://search.books.com.tw/search/query/key/</v>
      </c>
      <c r="N198" s="12"/>
      <c r="O198" s="12"/>
      <c r="P198" s="12"/>
      <c r="Q198" s="17" t="s">
        <v>52</v>
      </c>
    </row>
    <row r="199" spans="1:17" ht="24.9" customHeight="1">
      <c r="A199" s="2"/>
      <c r="B199" s="11" t="s">
        <v>1156</v>
      </c>
      <c r="C199" s="9" t="s">
        <v>1157</v>
      </c>
      <c r="D199" s="12" t="s">
        <v>985</v>
      </c>
      <c r="E199" s="13" t="s">
        <v>1158</v>
      </c>
      <c r="F199" s="13" t="s">
        <v>1159</v>
      </c>
      <c r="G199" s="14">
        <v>450</v>
      </c>
      <c r="H199" s="14">
        <f t="shared" si="12"/>
        <v>338</v>
      </c>
      <c r="I199" s="14"/>
      <c r="J199" s="15">
        <f t="shared" si="13"/>
        <v>0</v>
      </c>
      <c r="K199" s="12" t="s">
        <v>349</v>
      </c>
      <c r="L199" s="16" t="str">
        <f t="shared" si="14"/>
        <v>9786264203739</v>
      </c>
      <c r="M199" s="29" t="str">
        <f t="shared" si="15"/>
        <v>https://search.books.com.tw/search/query/key/9786264203739</v>
      </c>
      <c r="N199" s="12" t="s">
        <v>33</v>
      </c>
      <c r="O199" s="12"/>
      <c r="P199" s="12" t="s">
        <v>393</v>
      </c>
      <c r="Q199" s="17" t="s">
        <v>394</v>
      </c>
    </row>
    <row r="200" spans="1:17" ht="24.9" customHeight="1">
      <c r="A200" s="2"/>
      <c r="B200" s="11" t="s">
        <v>1160</v>
      </c>
      <c r="C200" s="9" t="s">
        <v>1161</v>
      </c>
      <c r="D200" s="12" t="s">
        <v>1162</v>
      </c>
      <c r="E200" s="13" t="s">
        <v>1163</v>
      </c>
      <c r="F200" s="13" t="s">
        <v>1164</v>
      </c>
      <c r="G200" s="14">
        <v>450</v>
      </c>
      <c r="H200" s="14">
        <f t="shared" si="12"/>
        <v>338</v>
      </c>
      <c r="I200" s="14"/>
      <c r="J200" s="15">
        <f t="shared" si="13"/>
        <v>0</v>
      </c>
      <c r="K200" s="12" t="s">
        <v>1165</v>
      </c>
      <c r="L200" s="16" t="str">
        <f t="shared" si="14"/>
        <v>9786263980136</v>
      </c>
      <c r="M200" s="29" t="str">
        <f t="shared" si="15"/>
        <v>https://search.books.com.tw/search/query/key/9786263980136</v>
      </c>
      <c r="N200" s="12" t="s">
        <v>33</v>
      </c>
      <c r="O200" s="12"/>
      <c r="P200" s="12" t="s">
        <v>35</v>
      </c>
      <c r="Q200" s="17" t="s">
        <v>65</v>
      </c>
    </row>
    <row r="201" spans="1:17" ht="24.9" customHeight="1">
      <c r="A201" s="2"/>
      <c r="B201" s="11" t="s">
        <v>1166</v>
      </c>
      <c r="C201" s="9" t="s">
        <v>1167</v>
      </c>
      <c r="D201" s="12" t="s">
        <v>1168</v>
      </c>
      <c r="E201" s="13" t="s">
        <v>1169</v>
      </c>
      <c r="F201" s="13" t="s">
        <v>1170</v>
      </c>
      <c r="G201" s="14">
        <v>520</v>
      </c>
      <c r="H201" s="14">
        <f t="shared" si="12"/>
        <v>390</v>
      </c>
      <c r="I201" s="14"/>
      <c r="J201" s="15">
        <f t="shared" si="13"/>
        <v>0</v>
      </c>
      <c r="K201" s="12" t="s">
        <v>697</v>
      </c>
      <c r="L201" s="16" t="str">
        <f t="shared" si="14"/>
        <v>9786267401774</v>
      </c>
      <c r="M201" s="29" t="str">
        <f t="shared" si="15"/>
        <v>https://search.books.com.tw/search/query/key/9786267401774</v>
      </c>
      <c r="N201" s="12" t="s">
        <v>33</v>
      </c>
      <c r="O201" s="12"/>
      <c r="P201" s="12" t="s">
        <v>73</v>
      </c>
      <c r="Q201" s="17" t="s">
        <v>1171</v>
      </c>
    </row>
    <row r="202" spans="1:17" ht="24.9" customHeight="1">
      <c r="A202" s="2"/>
      <c r="B202" s="11" t="s">
        <v>1172</v>
      </c>
      <c r="C202" s="9" t="s">
        <v>1173</v>
      </c>
      <c r="D202" s="12" t="s">
        <v>1174</v>
      </c>
      <c r="E202" s="13" t="s">
        <v>1175</v>
      </c>
      <c r="F202" s="13" t="s">
        <v>1176</v>
      </c>
      <c r="G202" s="14">
        <v>599</v>
      </c>
      <c r="H202" s="14">
        <f t="shared" si="12"/>
        <v>449</v>
      </c>
      <c r="I202" s="14"/>
      <c r="J202" s="15">
        <f t="shared" si="13"/>
        <v>0</v>
      </c>
      <c r="K202" s="12" t="s">
        <v>567</v>
      </c>
      <c r="L202" s="16" t="str">
        <f t="shared" si="14"/>
        <v>9786263964204</v>
      </c>
      <c r="M202" s="29" t="str">
        <f t="shared" si="15"/>
        <v>https://search.books.com.tw/search/query/key/9786263964204</v>
      </c>
      <c r="N202" s="12" t="s">
        <v>33</v>
      </c>
      <c r="O202" s="12"/>
      <c r="P202" s="12" t="s">
        <v>35</v>
      </c>
      <c r="Q202" s="17" t="s">
        <v>706</v>
      </c>
    </row>
    <row r="203" spans="1:17" ht="24.9" customHeight="1">
      <c r="A203" s="2"/>
      <c r="B203" s="11" t="s">
        <v>1177</v>
      </c>
      <c r="C203" s="9" t="s">
        <v>1178</v>
      </c>
      <c r="D203" s="12" t="s">
        <v>1179</v>
      </c>
      <c r="E203" s="13" t="s">
        <v>1180</v>
      </c>
      <c r="F203" s="13" t="s">
        <v>1181</v>
      </c>
      <c r="G203" s="14">
        <v>580</v>
      </c>
      <c r="H203" s="14">
        <f t="shared" si="12"/>
        <v>435</v>
      </c>
      <c r="I203" s="14"/>
      <c r="J203" s="15">
        <f t="shared" si="13"/>
        <v>0</v>
      </c>
      <c r="K203" s="12" t="s">
        <v>683</v>
      </c>
      <c r="L203" s="16" t="str">
        <f t="shared" si="14"/>
        <v>9786267683736</v>
      </c>
      <c r="M203" s="29" t="str">
        <f t="shared" si="15"/>
        <v>https://search.books.com.tw/search/query/key/9786267683736</v>
      </c>
      <c r="N203" s="12" t="s">
        <v>33</v>
      </c>
      <c r="O203" s="12"/>
      <c r="P203" s="12" t="s">
        <v>73</v>
      </c>
      <c r="Q203" s="17" t="s">
        <v>1182</v>
      </c>
    </row>
    <row r="204" spans="1:17" ht="24.9" customHeight="1">
      <c r="A204" s="2"/>
      <c r="B204" s="11" t="s">
        <v>1183</v>
      </c>
      <c r="C204" s="9" t="s">
        <v>1184</v>
      </c>
      <c r="D204" s="12" t="s">
        <v>1185</v>
      </c>
      <c r="E204" s="13" t="s">
        <v>1186</v>
      </c>
      <c r="F204" s="13" t="s">
        <v>1187</v>
      </c>
      <c r="G204" s="14">
        <v>420</v>
      </c>
      <c r="H204" s="14">
        <f t="shared" si="12"/>
        <v>315</v>
      </c>
      <c r="I204" s="14"/>
      <c r="J204" s="15">
        <f t="shared" si="13"/>
        <v>0</v>
      </c>
      <c r="K204" s="12" t="s">
        <v>1188</v>
      </c>
      <c r="L204" s="16" t="str">
        <f t="shared" si="14"/>
        <v>9786269585168</v>
      </c>
      <c r="M204" s="29" t="str">
        <f t="shared" si="15"/>
        <v>https://search.books.com.tw/search/query/key/9786269585168</v>
      </c>
      <c r="N204" s="12" t="s">
        <v>33</v>
      </c>
      <c r="O204" s="12"/>
      <c r="P204" s="12" t="s">
        <v>35</v>
      </c>
      <c r="Q204" s="17" t="s">
        <v>706</v>
      </c>
    </row>
    <row r="205" spans="1:17" ht="24.9" customHeight="1">
      <c r="A205" s="2"/>
      <c r="B205" s="11" t="s">
        <v>1189</v>
      </c>
      <c r="C205" s="9" t="s">
        <v>1190</v>
      </c>
      <c r="D205" s="12" t="s">
        <v>1191</v>
      </c>
      <c r="E205" s="13" t="s">
        <v>1192</v>
      </c>
      <c r="F205" s="13" t="s">
        <v>1193</v>
      </c>
      <c r="G205" s="14">
        <v>490</v>
      </c>
      <c r="H205" s="14">
        <f t="shared" si="12"/>
        <v>368</v>
      </c>
      <c r="I205" s="14"/>
      <c r="J205" s="15">
        <f t="shared" si="13"/>
        <v>0</v>
      </c>
      <c r="K205" s="12" t="s">
        <v>42</v>
      </c>
      <c r="L205" s="16" t="str">
        <f t="shared" si="14"/>
        <v>9789570877502</v>
      </c>
      <c r="M205" s="29" t="str">
        <f t="shared" si="15"/>
        <v>https://search.books.com.tw/search/query/key/9789570877502</v>
      </c>
      <c r="N205" s="12" t="s">
        <v>33</v>
      </c>
      <c r="O205" s="12"/>
      <c r="P205" s="12" t="s">
        <v>35</v>
      </c>
      <c r="Q205" s="17" t="s">
        <v>198</v>
      </c>
    </row>
    <row r="206" spans="1:17" ht="24.9" customHeight="1">
      <c r="A206" s="2"/>
      <c r="B206" s="11" t="s">
        <v>1194</v>
      </c>
      <c r="C206" s="9" t="s">
        <v>1195</v>
      </c>
      <c r="D206" s="12" t="s">
        <v>1196</v>
      </c>
      <c r="E206" s="13" t="s">
        <v>1197</v>
      </c>
      <c r="F206" s="13" t="s">
        <v>1198</v>
      </c>
      <c r="G206" s="14">
        <v>450</v>
      </c>
      <c r="H206" s="14">
        <f t="shared" si="12"/>
        <v>338</v>
      </c>
      <c r="I206" s="14"/>
      <c r="J206" s="15">
        <f t="shared" si="13"/>
        <v>0</v>
      </c>
      <c r="K206" s="12" t="s">
        <v>1199</v>
      </c>
      <c r="L206" s="16" t="str">
        <f t="shared" si="14"/>
        <v>9786267063705</v>
      </c>
      <c r="M206" s="29" t="str">
        <f t="shared" si="15"/>
        <v>https://search.books.com.tw/search/query/key/9786267063705</v>
      </c>
      <c r="N206" s="12" t="s">
        <v>33</v>
      </c>
      <c r="O206" s="12"/>
      <c r="P206" s="12" t="s">
        <v>73</v>
      </c>
      <c r="Q206" s="17" t="s">
        <v>1200</v>
      </c>
    </row>
    <row r="207" spans="1:17" ht="24.9" customHeight="1">
      <c r="A207" s="2"/>
      <c r="B207" s="11" t="s">
        <v>1201</v>
      </c>
      <c r="C207" s="9" t="s">
        <v>1202</v>
      </c>
      <c r="D207" s="12" t="s">
        <v>324</v>
      </c>
      <c r="E207" s="13" t="s">
        <v>1203</v>
      </c>
      <c r="F207" s="13" t="s">
        <v>1204</v>
      </c>
      <c r="G207" s="14">
        <v>550</v>
      </c>
      <c r="H207" s="14">
        <f t="shared" si="12"/>
        <v>413</v>
      </c>
      <c r="I207" s="14"/>
      <c r="J207" s="15">
        <f t="shared" si="13"/>
        <v>0</v>
      </c>
      <c r="K207" s="12" t="s">
        <v>150</v>
      </c>
      <c r="L207" s="16" t="str">
        <f t="shared" si="14"/>
        <v>9789862626054</v>
      </c>
      <c r="M207" s="29" t="str">
        <f t="shared" si="15"/>
        <v>https://search.books.com.tw/search/query/key/9789862626054</v>
      </c>
      <c r="N207" s="12" t="s">
        <v>33</v>
      </c>
      <c r="O207" s="12"/>
      <c r="P207" s="12" t="s">
        <v>25</v>
      </c>
      <c r="Q207" s="17" t="s">
        <v>684</v>
      </c>
    </row>
    <row r="208" spans="1:17" ht="24.9" customHeight="1">
      <c r="A208" s="2"/>
      <c r="B208" s="11" t="s">
        <v>1205</v>
      </c>
      <c r="C208" s="9" t="s">
        <v>1206</v>
      </c>
      <c r="D208" s="12" t="s">
        <v>1207</v>
      </c>
      <c r="E208" s="13" t="s">
        <v>1208</v>
      </c>
      <c r="F208" s="13" t="s">
        <v>1209</v>
      </c>
      <c r="G208" s="14">
        <v>350</v>
      </c>
      <c r="H208" s="14">
        <f t="shared" si="12"/>
        <v>263</v>
      </c>
      <c r="I208" s="14"/>
      <c r="J208" s="15">
        <f t="shared" si="13"/>
        <v>0</v>
      </c>
      <c r="K208" s="12" t="s">
        <v>42</v>
      </c>
      <c r="L208" s="16" t="str">
        <f t="shared" si="14"/>
        <v>9789570854091</v>
      </c>
      <c r="M208" s="29" t="str">
        <f t="shared" si="15"/>
        <v>https://search.books.com.tw/search/query/key/9789570854091</v>
      </c>
      <c r="N208" s="12" t="s">
        <v>43</v>
      </c>
      <c r="O208" s="12"/>
      <c r="P208" s="12" t="s">
        <v>45</v>
      </c>
      <c r="Q208" s="17" t="s">
        <v>1210</v>
      </c>
    </row>
    <row r="209" spans="1:17" ht="24.9" customHeight="1">
      <c r="A209" s="2"/>
      <c r="B209" s="11" t="s">
        <v>1211</v>
      </c>
      <c r="C209" s="9" t="s">
        <v>1212</v>
      </c>
      <c r="D209" s="12" t="s">
        <v>1213</v>
      </c>
      <c r="E209" s="13" t="s">
        <v>1214</v>
      </c>
      <c r="F209" s="13" t="s">
        <v>1215</v>
      </c>
      <c r="G209" s="14">
        <v>480</v>
      </c>
      <c r="H209" s="14">
        <f t="shared" si="12"/>
        <v>360</v>
      </c>
      <c r="I209" s="14"/>
      <c r="J209" s="15">
        <f t="shared" si="13"/>
        <v>0</v>
      </c>
      <c r="K209" s="12" t="s">
        <v>567</v>
      </c>
      <c r="L209" s="16" t="str">
        <f t="shared" si="14"/>
        <v>9786263961968</v>
      </c>
      <c r="M209" s="29" t="str">
        <f t="shared" si="15"/>
        <v>https://search.books.com.tw/search/query/key/9786263961968</v>
      </c>
      <c r="N209" s="12" t="s">
        <v>33</v>
      </c>
      <c r="O209" s="12"/>
      <c r="P209" s="12" t="s">
        <v>35</v>
      </c>
      <c r="Q209" s="17" t="s">
        <v>706</v>
      </c>
    </row>
    <row r="210" spans="1:17" ht="24.9" customHeight="1">
      <c r="A210" s="2"/>
      <c r="B210" s="11" t="s">
        <v>1216</v>
      </c>
      <c r="C210" s="9" t="s">
        <v>1217</v>
      </c>
      <c r="D210" s="12" t="s">
        <v>1218</v>
      </c>
      <c r="E210" s="13" t="s">
        <v>1219</v>
      </c>
      <c r="F210" s="13" t="s">
        <v>896</v>
      </c>
      <c r="G210" s="14">
        <v>480</v>
      </c>
      <c r="H210" s="14">
        <f t="shared" si="12"/>
        <v>360</v>
      </c>
      <c r="I210" s="14"/>
      <c r="J210" s="15">
        <f t="shared" si="13"/>
        <v>0</v>
      </c>
      <c r="K210" s="12" t="s">
        <v>355</v>
      </c>
      <c r="L210" s="16" t="str">
        <f t="shared" si="14"/>
        <v>9786263108011</v>
      </c>
      <c r="M210" s="29" t="str">
        <f t="shared" si="15"/>
        <v>https://search.books.com.tw/search/query/key/9786263108011</v>
      </c>
      <c r="N210" s="12" t="s">
        <v>33</v>
      </c>
      <c r="O210" s="12"/>
      <c r="P210" s="12" t="s">
        <v>45</v>
      </c>
      <c r="Q210" s="17" t="s">
        <v>1154</v>
      </c>
    </row>
    <row r="211" spans="1:17" ht="24.9" customHeight="1">
      <c r="A211" s="2"/>
      <c r="B211" s="11" t="s">
        <v>1220</v>
      </c>
      <c r="C211" s="9" t="s">
        <v>1221</v>
      </c>
      <c r="D211" s="12" t="s">
        <v>1222</v>
      </c>
      <c r="E211" s="13" t="s">
        <v>1223</v>
      </c>
      <c r="F211" s="13" t="s">
        <v>1224</v>
      </c>
      <c r="G211" s="14">
        <v>350</v>
      </c>
      <c r="H211" s="14">
        <f t="shared" si="12"/>
        <v>263</v>
      </c>
      <c r="I211" s="14"/>
      <c r="J211" s="15">
        <f t="shared" si="13"/>
        <v>0</v>
      </c>
      <c r="K211" s="12" t="s">
        <v>349</v>
      </c>
      <c r="L211" s="16" t="str">
        <f t="shared" si="14"/>
        <v>9786264201629</v>
      </c>
      <c r="M211" s="29" t="str">
        <f t="shared" si="15"/>
        <v>https://search.books.com.tw/search/query/key/9786264201629</v>
      </c>
      <c r="N211" s="12" t="s">
        <v>343</v>
      </c>
      <c r="O211" s="12"/>
      <c r="P211" s="12" t="s">
        <v>25</v>
      </c>
      <c r="Q211" s="17" t="s">
        <v>753</v>
      </c>
    </row>
    <row r="212" spans="1:17" ht="24.9" customHeight="1">
      <c r="A212" s="2"/>
      <c r="B212" s="11" t="s">
        <v>1225</v>
      </c>
      <c r="C212" s="9" t="s">
        <v>1226</v>
      </c>
      <c r="D212" s="12" t="s">
        <v>1227</v>
      </c>
      <c r="E212" s="13" t="s">
        <v>1228</v>
      </c>
      <c r="F212" s="13" t="s">
        <v>1229</v>
      </c>
      <c r="G212" s="14">
        <v>420</v>
      </c>
      <c r="H212" s="14">
        <f t="shared" si="12"/>
        <v>315</v>
      </c>
      <c r="I212" s="14"/>
      <c r="J212" s="15">
        <f t="shared" si="13"/>
        <v>0</v>
      </c>
      <c r="K212" s="12" t="s">
        <v>832</v>
      </c>
      <c r="L212" s="16" t="str">
        <f t="shared" si="14"/>
        <v>9786263149076</v>
      </c>
      <c r="M212" s="29" t="str">
        <f t="shared" si="15"/>
        <v>https://search.books.com.tw/search/query/key/9786263149076</v>
      </c>
      <c r="N212" s="12" t="s">
        <v>33</v>
      </c>
      <c r="O212" s="12"/>
      <c r="P212" s="12" t="s">
        <v>45</v>
      </c>
      <c r="Q212" s="17" t="s">
        <v>1230</v>
      </c>
    </row>
    <row r="213" spans="1:17" ht="24.9" customHeight="1">
      <c r="A213" s="2"/>
      <c r="B213" s="11" t="s">
        <v>1231</v>
      </c>
      <c r="C213" s="9" t="s">
        <v>1232</v>
      </c>
      <c r="D213" s="12" t="s">
        <v>1233</v>
      </c>
      <c r="E213" s="13" t="s">
        <v>1234</v>
      </c>
      <c r="F213" s="13" t="s">
        <v>1235</v>
      </c>
      <c r="G213" s="14">
        <v>450</v>
      </c>
      <c r="H213" s="14">
        <f t="shared" si="12"/>
        <v>338</v>
      </c>
      <c r="I213" s="14"/>
      <c r="J213" s="15">
        <f t="shared" si="13"/>
        <v>0</v>
      </c>
      <c r="K213" s="12" t="s">
        <v>541</v>
      </c>
      <c r="L213" s="16" t="str">
        <f t="shared" si="14"/>
        <v>9786267835159</v>
      </c>
      <c r="M213" s="29" t="str">
        <f t="shared" si="15"/>
        <v>https://search.books.com.tw/search/query/key/9786267835159</v>
      </c>
      <c r="N213" s="12" t="s">
        <v>33</v>
      </c>
      <c r="O213" s="12"/>
      <c r="P213" s="12" t="s">
        <v>25</v>
      </c>
      <c r="Q213" s="17" t="s">
        <v>1236</v>
      </c>
    </row>
    <row r="214" spans="1:17" ht="24.9" customHeight="1">
      <c r="A214" s="2"/>
      <c r="B214" s="11" t="s">
        <v>1237</v>
      </c>
      <c r="C214" s="9" t="s">
        <v>1238</v>
      </c>
      <c r="D214" s="12" t="s">
        <v>1239</v>
      </c>
      <c r="E214" s="13" t="s">
        <v>1240</v>
      </c>
      <c r="F214" s="13" t="s">
        <v>1241</v>
      </c>
      <c r="G214" s="14">
        <v>520</v>
      </c>
      <c r="H214" s="14">
        <f t="shared" si="12"/>
        <v>390</v>
      </c>
      <c r="I214" s="14"/>
      <c r="J214" s="15">
        <f t="shared" si="13"/>
        <v>0</v>
      </c>
      <c r="K214" s="12" t="s">
        <v>1242</v>
      </c>
      <c r="L214" s="16" t="str">
        <f t="shared" si="14"/>
        <v>9786267229699</v>
      </c>
      <c r="M214" s="29" t="str">
        <f t="shared" si="15"/>
        <v>https://search.books.com.tw/search/query/key/9786267229699</v>
      </c>
      <c r="N214" s="12" t="s">
        <v>43</v>
      </c>
      <c r="O214" s="12"/>
      <c r="P214" s="12" t="s">
        <v>384</v>
      </c>
      <c r="Q214" s="17" t="s">
        <v>1243</v>
      </c>
    </row>
    <row r="215" spans="1:17" ht="24.9" customHeight="1">
      <c r="A215" s="2"/>
      <c r="B215" s="11" t="s">
        <v>1244</v>
      </c>
      <c r="C215" s="9" t="s">
        <v>1245</v>
      </c>
      <c r="D215" s="12" t="s">
        <v>1246</v>
      </c>
      <c r="E215" s="13" t="s">
        <v>1247</v>
      </c>
      <c r="F215" s="13" t="s">
        <v>1248</v>
      </c>
      <c r="G215" s="14">
        <v>350</v>
      </c>
      <c r="H215" s="14">
        <f t="shared" si="12"/>
        <v>263</v>
      </c>
      <c r="I215" s="14"/>
      <c r="J215" s="15">
        <f t="shared" si="13"/>
        <v>0</v>
      </c>
      <c r="K215" s="12" t="s">
        <v>32</v>
      </c>
      <c r="L215" s="16" t="str">
        <f t="shared" si="14"/>
        <v>9786263618695</v>
      </c>
      <c r="M215" s="29" t="str">
        <f t="shared" si="15"/>
        <v>https://search.books.com.tw/search/query/key/9786263618695</v>
      </c>
      <c r="N215" s="12" t="s">
        <v>597</v>
      </c>
      <c r="O215" s="12"/>
      <c r="P215" s="12" t="s">
        <v>45</v>
      </c>
      <c r="Q215" s="17" t="s">
        <v>523</v>
      </c>
    </row>
    <row r="216" spans="1:17" ht="24.9" customHeight="1">
      <c r="A216" s="2"/>
      <c r="B216" s="11" t="s">
        <v>1249</v>
      </c>
      <c r="C216" s="9" t="s">
        <v>1250</v>
      </c>
      <c r="D216" s="12" t="s">
        <v>1251</v>
      </c>
      <c r="E216" s="13" t="s">
        <v>1252</v>
      </c>
      <c r="F216" s="13" t="s">
        <v>1046</v>
      </c>
      <c r="G216" s="14">
        <v>360</v>
      </c>
      <c r="H216" s="14">
        <f t="shared" si="12"/>
        <v>270</v>
      </c>
      <c r="I216" s="14"/>
      <c r="J216" s="15">
        <f t="shared" si="13"/>
        <v>0</v>
      </c>
      <c r="K216" s="12" t="s">
        <v>22</v>
      </c>
      <c r="L216" s="16" t="str">
        <f t="shared" si="14"/>
        <v>9786267237090</v>
      </c>
      <c r="M216" s="29" t="str">
        <f t="shared" si="15"/>
        <v>https://search.books.com.tw/search/query/key/9786267237090</v>
      </c>
      <c r="N216" s="12" t="s">
        <v>343</v>
      </c>
      <c r="O216" s="12"/>
      <c r="P216" s="12" t="s">
        <v>45</v>
      </c>
      <c r="Q216" s="17" t="s">
        <v>713</v>
      </c>
    </row>
    <row r="217" spans="1:17" ht="24.9" customHeight="1">
      <c r="A217" s="2"/>
      <c r="B217" s="11" t="s">
        <v>1253</v>
      </c>
      <c r="C217" s="9" t="s">
        <v>1254</v>
      </c>
      <c r="D217" s="12" t="s">
        <v>1251</v>
      </c>
      <c r="E217" s="13" t="s">
        <v>1255</v>
      </c>
      <c r="F217" s="13" t="s">
        <v>1256</v>
      </c>
      <c r="G217" s="14">
        <v>360</v>
      </c>
      <c r="H217" s="14">
        <f t="shared" si="12"/>
        <v>270</v>
      </c>
      <c r="I217" s="14"/>
      <c r="J217" s="15">
        <f t="shared" si="13"/>
        <v>0</v>
      </c>
      <c r="K217" s="12" t="s">
        <v>22</v>
      </c>
      <c r="L217" s="16" t="str">
        <f t="shared" si="14"/>
        <v>9786267350362</v>
      </c>
      <c r="M217" s="29" t="str">
        <f t="shared" si="15"/>
        <v>https://search.books.com.tw/search/query/key/9786267350362</v>
      </c>
      <c r="N217" s="12" t="s">
        <v>343</v>
      </c>
      <c r="O217" s="12"/>
      <c r="P217" s="12" t="s">
        <v>45</v>
      </c>
      <c r="Q217" s="17" t="s">
        <v>523</v>
      </c>
    </row>
    <row r="218" spans="1:17" ht="24.9" customHeight="1">
      <c r="A218" s="2"/>
      <c r="B218" s="11" t="s">
        <v>1257</v>
      </c>
      <c r="C218" s="9" t="s">
        <v>1258</v>
      </c>
      <c r="D218" s="12" t="s">
        <v>1259</v>
      </c>
      <c r="E218" s="13" t="s">
        <v>1260</v>
      </c>
      <c r="F218" s="13" t="s">
        <v>1261</v>
      </c>
      <c r="G218" s="14">
        <v>350</v>
      </c>
      <c r="H218" s="14">
        <f t="shared" si="12"/>
        <v>263</v>
      </c>
      <c r="I218" s="14"/>
      <c r="J218" s="15">
        <f t="shared" si="13"/>
        <v>0</v>
      </c>
      <c r="K218" s="12" t="s">
        <v>22</v>
      </c>
      <c r="L218" s="16" t="str">
        <f t="shared" si="14"/>
        <v>9789865513016</v>
      </c>
      <c r="M218" s="29" t="str">
        <f t="shared" si="15"/>
        <v>https://search.books.com.tw/search/query/key/9789865513016</v>
      </c>
      <c r="N218" s="12" t="s">
        <v>43</v>
      </c>
      <c r="O218" s="12"/>
      <c r="P218" s="12" t="s">
        <v>45</v>
      </c>
      <c r="Q218" s="17" t="s">
        <v>1262</v>
      </c>
    </row>
    <row r="219" spans="1:17" ht="24.9" customHeight="1">
      <c r="A219" s="2"/>
      <c r="B219" s="11" t="s">
        <v>1263</v>
      </c>
      <c r="C219" s="9" t="s">
        <v>1264</v>
      </c>
      <c r="D219" s="12" t="s">
        <v>1259</v>
      </c>
      <c r="E219" s="13" t="s">
        <v>1265</v>
      </c>
      <c r="F219" s="13" t="s">
        <v>1266</v>
      </c>
      <c r="G219" s="14">
        <v>360</v>
      </c>
      <c r="H219" s="14">
        <f t="shared" si="12"/>
        <v>270</v>
      </c>
      <c r="I219" s="14"/>
      <c r="J219" s="15">
        <f t="shared" si="13"/>
        <v>0</v>
      </c>
      <c r="K219" s="12" t="s">
        <v>22</v>
      </c>
      <c r="L219" s="16" t="str">
        <f t="shared" si="14"/>
        <v>9789865513894</v>
      </c>
      <c r="M219" s="29" t="str">
        <f t="shared" si="15"/>
        <v>https://search.books.com.tw/search/query/key/9789865513894</v>
      </c>
      <c r="N219" s="12" t="s">
        <v>343</v>
      </c>
      <c r="O219" s="12"/>
      <c r="P219" s="12" t="s">
        <v>45</v>
      </c>
      <c r="Q219" s="17" t="s">
        <v>523</v>
      </c>
    </row>
    <row r="220" spans="1:17" ht="24.9" customHeight="1">
      <c r="A220" s="2"/>
      <c r="B220" s="11" t="s">
        <v>1267</v>
      </c>
      <c r="C220" s="9" t="s">
        <v>1268</v>
      </c>
      <c r="D220" s="12" t="s">
        <v>1259</v>
      </c>
      <c r="E220" s="13" t="s">
        <v>1269</v>
      </c>
      <c r="F220" s="13" t="s">
        <v>1270</v>
      </c>
      <c r="G220" s="14">
        <v>360</v>
      </c>
      <c r="H220" s="14">
        <f t="shared" si="12"/>
        <v>270</v>
      </c>
      <c r="I220" s="14"/>
      <c r="J220" s="15">
        <f t="shared" si="13"/>
        <v>0</v>
      </c>
      <c r="K220" s="12" t="s">
        <v>22</v>
      </c>
      <c r="L220" s="16" t="str">
        <f t="shared" si="14"/>
        <v>9786267043349</v>
      </c>
      <c r="M220" s="29" t="str">
        <f t="shared" si="15"/>
        <v>https://search.books.com.tw/search/query/key/9786267043349</v>
      </c>
      <c r="N220" s="12" t="s">
        <v>343</v>
      </c>
      <c r="O220" s="12"/>
      <c r="P220" s="12" t="s">
        <v>45</v>
      </c>
      <c r="Q220" s="17" t="s">
        <v>523</v>
      </c>
    </row>
    <row r="221" spans="1:17" ht="24.9" customHeight="1">
      <c r="A221" s="2"/>
      <c r="B221" s="11" t="s">
        <v>1271</v>
      </c>
      <c r="C221" s="9" t="s">
        <v>1272</v>
      </c>
      <c r="D221" s="12" t="s">
        <v>1273</v>
      </c>
      <c r="E221" s="13" t="s">
        <v>1274</v>
      </c>
      <c r="F221" s="13" t="s">
        <v>1275</v>
      </c>
      <c r="G221" s="14">
        <v>360</v>
      </c>
      <c r="H221" s="14">
        <f t="shared" si="12"/>
        <v>270</v>
      </c>
      <c r="I221" s="14"/>
      <c r="J221" s="15">
        <f t="shared" si="13"/>
        <v>0</v>
      </c>
      <c r="K221" s="12" t="s">
        <v>22</v>
      </c>
      <c r="L221" s="16" t="str">
        <f t="shared" si="14"/>
        <v>9786267772782</v>
      </c>
      <c r="M221" s="29" t="str">
        <f t="shared" si="15"/>
        <v>https://search.books.com.tw/search/query/key/9786267772782</v>
      </c>
      <c r="N221" s="12" t="s">
        <v>343</v>
      </c>
      <c r="O221" s="12"/>
      <c r="P221" s="12" t="s">
        <v>45</v>
      </c>
      <c r="Q221" s="17" t="s">
        <v>523</v>
      </c>
    </row>
    <row r="222" spans="1:17" ht="24.9" customHeight="1">
      <c r="A222" s="2"/>
      <c r="B222" s="11" t="s">
        <v>1276</v>
      </c>
      <c r="C222" s="9" t="s">
        <v>1277</v>
      </c>
      <c r="D222" s="12" t="s">
        <v>1251</v>
      </c>
      <c r="E222" s="13" t="s">
        <v>1278</v>
      </c>
      <c r="F222" s="13" t="s">
        <v>1279</v>
      </c>
      <c r="G222" s="14">
        <v>360</v>
      </c>
      <c r="H222" s="14">
        <f t="shared" si="12"/>
        <v>270</v>
      </c>
      <c r="I222" s="14"/>
      <c r="J222" s="15">
        <f t="shared" si="13"/>
        <v>0</v>
      </c>
      <c r="K222" s="12" t="s">
        <v>22</v>
      </c>
      <c r="L222" s="16" t="str">
        <f t="shared" si="14"/>
        <v>9786267467633</v>
      </c>
      <c r="M222" s="29" t="str">
        <f t="shared" si="15"/>
        <v>https://search.books.com.tw/search/query/key/9786267467633</v>
      </c>
      <c r="N222" s="12" t="s">
        <v>522</v>
      </c>
      <c r="O222" s="12"/>
      <c r="P222" s="12" t="s">
        <v>45</v>
      </c>
      <c r="Q222" s="17" t="s">
        <v>523</v>
      </c>
    </row>
    <row r="223" spans="1:17" ht="24.9" customHeight="1">
      <c r="A223" s="2"/>
      <c r="B223" s="11" t="s">
        <v>1280</v>
      </c>
      <c r="C223" s="9" t="s">
        <v>1281</v>
      </c>
      <c r="D223" s="12" t="s">
        <v>1282</v>
      </c>
      <c r="E223" s="13" t="s">
        <v>1283</v>
      </c>
      <c r="F223" s="13" t="s">
        <v>1275</v>
      </c>
      <c r="G223" s="14">
        <v>420</v>
      </c>
      <c r="H223" s="14">
        <f t="shared" si="12"/>
        <v>315</v>
      </c>
      <c r="I223" s="14"/>
      <c r="J223" s="15">
        <f t="shared" si="13"/>
        <v>0</v>
      </c>
      <c r="K223" s="12" t="s">
        <v>22</v>
      </c>
      <c r="L223" s="16" t="str">
        <f t="shared" si="14"/>
        <v>9786267772461</v>
      </c>
      <c r="M223" s="29" t="str">
        <f t="shared" si="15"/>
        <v>https://search.books.com.tw/search/query/key/9786267772461</v>
      </c>
      <c r="N223" s="12" t="s">
        <v>343</v>
      </c>
      <c r="O223" s="12"/>
      <c r="P223" s="12" t="s">
        <v>45</v>
      </c>
      <c r="Q223" s="17" t="s">
        <v>713</v>
      </c>
    </row>
    <row r="224" spans="1:17" ht="24.9" customHeight="1">
      <c r="A224" s="2"/>
      <c r="B224" s="11" t="s">
        <v>1284</v>
      </c>
      <c r="C224" s="9" t="s">
        <v>1285</v>
      </c>
      <c r="D224" s="12" t="s">
        <v>1286</v>
      </c>
      <c r="E224" s="13" t="s">
        <v>1287</v>
      </c>
      <c r="F224" s="13" t="s">
        <v>1288</v>
      </c>
      <c r="G224" s="14">
        <v>500</v>
      </c>
      <c r="H224" s="14">
        <f t="shared" si="12"/>
        <v>375</v>
      </c>
      <c r="I224" s="14"/>
      <c r="J224" s="15">
        <f t="shared" si="13"/>
        <v>0</v>
      </c>
      <c r="K224" s="12" t="s">
        <v>1289</v>
      </c>
      <c r="L224" s="16" t="str">
        <f t="shared" si="14"/>
        <v>9789869768566</v>
      </c>
      <c r="M224" s="29" t="str">
        <f t="shared" si="15"/>
        <v>https://search.books.com.tw/search/query/key/9789869768566</v>
      </c>
      <c r="N224" s="12" t="s">
        <v>33</v>
      </c>
      <c r="O224" s="12"/>
      <c r="P224" s="12" t="s">
        <v>1290</v>
      </c>
      <c r="Q224" s="17" t="s">
        <v>198</v>
      </c>
    </row>
    <row r="225" spans="1:17" ht="24.9" customHeight="1">
      <c r="A225" s="2"/>
      <c r="B225" s="11" t="s">
        <v>1291</v>
      </c>
      <c r="C225" s="9" t="s">
        <v>1292</v>
      </c>
      <c r="D225" s="12" t="s">
        <v>1293</v>
      </c>
      <c r="E225" s="13" t="s">
        <v>1294</v>
      </c>
      <c r="F225" s="13" t="s">
        <v>1295</v>
      </c>
      <c r="G225" s="14">
        <v>420</v>
      </c>
      <c r="H225" s="14">
        <f t="shared" si="12"/>
        <v>315</v>
      </c>
      <c r="I225" s="14"/>
      <c r="J225" s="15">
        <f t="shared" si="13"/>
        <v>0</v>
      </c>
      <c r="K225" s="12" t="s">
        <v>480</v>
      </c>
      <c r="L225" s="16" t="str">
        <f t="shared" si="14"/>
        <v>9786267747421</v>
      </c>
      <c r="M225" s="29" t="str">
        <f t="shared" si="15"/>
        <v>https://search.books.com.tw/search/query/key/9786267747421</v>
      </c>
      <c r="N225" s="12" t="s">
        <v>23</v>
      </c>
      <c r="O225" s="12"/>
      <c r="P225" s="12" t="s">
        <v>45</v>
      </c>
      <c r="Q225" s="17" t="s">
        <v>1296</v>
      </c>
    </row>
    <row r="226" spans="1:17" ht="24.9" customHeight="1">
      <c r="A226" s="2"/>
      <c r="B226" s="11" t="s">
        <v>1297</v>
      </c>
      <c r="C226" s="9" t="s">
        <v>1298</v>
      </c>
      <c r="D226" s="12" t="s">
        <v>1299</v>
      </c>
      <c r="E226" s="13" t="s">
        <v>1300</v>
      </c>
      <c r="F226" s="13" t="s">
        <v>1301</v>
      </c>
      <c r="G226" s="14">
        <v>380</v>
      </c>
      <c r="H226" s="14">
        <f t="shared" si="12"/>
        <v>285</v>
      </c>
      <c r="I226" s="14"/>
      <c r="J226" s="15">
        <f t="shared" si="13"/>
        <v>0</v>
      </c>
      <c r="K226" s="12" t="s">
        <v>22</v>
      </c>
      <c r="L226" s="16" t="str">
        <f t="shared" si="14"/>
        <v>9786267632888</v>
      </c>
      <c r="M226" s="29" t="str">
        <f t="shared" si="15"/>
        <v>https://search.books.com.tw/search/query/key/9786267632888</v>
      </c>
      <c r="N226" s="12" t="s">
        <v>343</v>
      </c>
      <c r="O226" s="12"/>
      <c r="P226" s="12" t="s">
        <v>45</v>
      </c>
      <c r="Q226" s="17" t="s">
        <v>523</v>
      </c>
    </row>
    <row r="227" spans="1:17" ht="24.9" customHeight="1">
      <c r="A227" s="2"/>
      <c r="B227" s="11" t="s">
        <v>1302</v>
      </c>
      <c r="C227" s="9" t="s">
        <v>1303</v>
      </c>
      <c r="D227" s="12" t="s">
        <v>1304</v>
      </c>
      <c r="E227" s="13" t="s">
        <v>1305</v>
      </c>
      <c r="F227" s="13" t="s">
        <v>1306</v>
      </c>
      <c r="G227" s="14">
        <v>320</v>
      </c>
      <c r="H227" s="14">
        <f t="shared" si="12"/>
        <v>240</v>
      </c>
      <c r="I227" s="14"/>
      <c r="J227" s="15">
        <f t="shared" si="13"/>
        <v>0</v>
      </c>
      <c r="K227" s="12" t="s">
        <v>22</v>
      </c>
      <c r="L227" s="16" t="str">
        <f t="shared" si="14"/>
        <v>9789865513610</v>
      </c>
      <c r="M227" s="29" t="str">
        <f t="shared" si="15"/>
        <v>https://search.books.com.tw/search/query/key/9789865513610</v>
      </c>
      <c r="N227" s="12" t="s">
        <v>343</v>
      </c>
      <c r="O227" s="12"/>
      <c r="P227" s="12" t="s">
        <v>45</v>
      </c>
      <c r="Q227" s="17" t="s">
        <v>1307</v>
      </c>
    </row>
    <row r="228" spans="1:17" ht="24.9" customHeight="1">
      <c r="A228" s="2"/>
      <c r="B228" s="11" t="s">
        <v>1308</v>
      </c>
      <c r="C228" s="9" t="s">
        <v>1309</v>
      </c>
      <c r="D228" s="12" t="s">
        <v>1310</v>
      </c>
      <c r="E228" s="13" t="s">
        <v>1311</v>
      </c>
      <c r="F228" s="13" t="s">
        <v>1312</v>
      </c>
      <c r="G228" s="14">
        <v>500</v>
      </c>
      <c r="H228" s="14">
        <f t="shared" si="12"/>
        <v>375</v>
      </c>
      <c r="I228" s="14"/>
      <c r="J228" s="15">
        <f t="shared" si="13"/>
        <v>0</v>
      </c>
      <c r="K228" s="12" t="s">
        <v>881</v>
      </c>
      <c r="L228" s="16" t="str">
        <f t="shared" si="14"/>
        <v>9786269566273</v>
      </c>
      <c r="M228" s="29" t="str">
        <f t="shared" si="15"/>
        <v>https://search.books.com.tw/search/query/key/9786269566273</v>
      </c>
      <c r="N228" s="12" t="s">
        <v>343</v>
      </c>
      <c r="O228" s="12"/>
      <c r="P228" s="12" t="s">
        <v>45</v>
      </c>
      <c r="Q228" s="17" t="s">
        <v>523</v>
      </c>
    </row>
    <row r="229" spans="1:17" ht="24.9" customHeight="1">
      <c r="A229" s="2"/>
      <c r="B229" s="11" t="s">
        <v>1313</v>
      </c>
      <c r="C229" s="9" t="s">
        <v>1314</v>
      </c>
      <c r="D229" s="12" t="s">
        <v>1315</v>
      </c>
      <c r="E229" s="13" t="s">
        <v>1316</v>
      </c>
      <c r="F229" s="13" t="s">
        <v>1317</v>
      </c>
      <c r="G229" s="14">
        <v>250</v>
      </c>
      <c r="H229" s="14">
        <f t="shared" si="12"/>
        <v>188</v>
      </c>
      <c r="I229" s="14"/>
      <c r="J229" s="15">
        <f t="shared" si="13"/>
        <v>0</v>
      </c>
      <c r="K229" s="12" t="s">
        <v>400</v>
      </c>
      <c r="L229" s="16" t="str">
        <f t="shared" si="14"/>
        <v>9789862237960</v>
      </c>
      <c r="M229" s="29" t="str">
        <f t="shared" si="15"/>
        <v>https://search.books.com.tw/search/query/key/9789862237960</v>
      </c>
      <c r="N229" s="12" t="s">
        <v>1029</v>
      </c>
      <c r="O229" s="12"/>
      <c r="P229" s="12" t="s">
        <v>384</v>
      </c>
      <c r="Q229" s="17" t="s">
        <v>1318</v>
      </c>
    </row>
    <row r="230" spans="1:17" ht="24.9" customHeight="1">
      <c r="A230" s="2"/>
      <c r="B230" s="11" t="s">
        <v>1319</v>
      </c>
      <c r="C230" s="9" t="s">
        <v>1320</v>
      </c>
      <c r="D230" s="12" t="s">
        <v>1321</v>
      </c>
      <c r="E230" s="13" t="s">
        <v>1322</v>
      </c>
      <c r="F230" s="13" t="s">
        <v>929</v>
      </c>
      <c r="G230" s="14">
        <v>270</v>
      </c>
      <c r="H230" s="14">
        <f t="shared" si="12"/>
        <v>203</v>
      </c>
      <c r="I230" s="14"/>
      <c r="J230" s="15">
        <f t="shared" si="13"/>
        <v>0</v>
      </c>
      <c r="K230" s="12" t="s">
        <v>22</v>
      </c>
      <c r="L230" s="16" t="str">
        <f t="shared" si="14"/>
        <v>9789862113134</v>
      </c>
      <c r="M230" s="29" t="str">
        <f t="shared" si="15"/>
        <v>https://search.books.com.tw/search/query/key/9789862113134</v>
      </c>
      <c r="N230" s="12" t="s">
        <v>43</v>
      </c>
      <c r="O230" s="12"/>
      <c r="P230" s="12" t="s">
        <v>45</v>
      </c>
      <c r="Q230" s="17" t="s">
        <v>523</v>
      </c>
    </row>
    <row r="231" spans="1:17" ht="24.9" customHeight="1">
      <c r="A231" s="2"/>
      <c r="B231" s="11" t="s">
        <v>1323</v>
      </c>
      <c r="C231" s="9" t="s">
        <v>1324</v>
      </c>
      <c r="D231" s="12" t="s">
        <v>1325</v>
      </c>
      <c r="E231" s="13" t="s">
        <v>1326</v>
      </c>
      <c r="F231" s="13" t="s">
        <v>1256</v>
      </c>
      <c r="G231" s="14">
        <v>360</v>
      </c>
      <c r="H231" s="14">
        <f t="shared" si="12"/>
        <v>270</v>
      </c>
      <c r="I231" s="14"/>
      <c r="J231" s="15">
        <f t="shared" si="13"/>
        <v>0</v>
      </c>
      <c r="K231" s="12" t="s">
        <v>1327</v>
      </c>
      <c r="L231" s="16" t="str">
        <f t="shared" si="14"/>
        <v>9789864275328</v>
      </c>
      <c r="M231" s="29" t="str">
        <f t="shared" si="15"/>
        <v>https://search.books.com.tw/search/query/key/9789864275328</v>
      </c>
      <c r="N231" s="12" t="s">
        <v>343</v>
      </c>
      <c r="O231" s="12"/>
      <c r="P231" s="12" t="s">
        <v>45</v>
      </c>
      <c r="Q231" s="17" t="s">
        <v>1328</v>
      </c>
    </row>
    <row r="232" spans="1:17" ht="24.9" customHeight="1">
      <c r="A232" s="2"/>
      <c r="B232" s="11" t="s">
        <v>1329</v>
      </c>
      <c r="C232" s="9"/>
      <c r="D232" s="12"/>
      <c r="E232" s="13"/>
      <c r="F232" s="13"/>
      <c r="G232" s="14"/>
      <c r="H232" s="14">
        <f t="shared" si="12"/>
        <v>0</v>
      </c>
      <c r="I232" s="14"/>
      <c r="J232" s="15">
        <f t="shared" si="13"/>
        <v>0</v>
      </c>
      <c r="K232" s="12"/>
      <c r="L232" s="16">
        <f t="shared" si="14"/>
        <v>0</v>
      </c>
      <c r="M232" s="29" t="str">
        <f t="shared" si="15"/>
        <v>https://search.books.com.tw/search/query/key/</v>
      </c>
      <c r="N232" s="12"/>
      <c r="O232" s="12"/>
      <c r="P232" s="12"/>
      <c r="Q232" s="17" t="s">
        <v>159</v>
      </c>
    </row>
    <row r="233" spans="1:17" ht="24.9" customHeight="1">
      <c r="A233" s="2"/>
      <c r="B233" s="11" t="s">
        <v>1330</v>
      </c>
      <c r="C233" s="9" t="s">
        <v>1331</v>
      </c>
      <c r="D233" s="12" t="s">
        <v>1332</v>
      </c>
      <c r="E233" s="13" t="s">
        <v>1333</v>
      </c>
      <c r="F233" s="13" t="s">
        <v>1334</v>
      </c>
      <c r="G233" s="14">
        <v>350</v>
      </c>
      <c r="H233" s="14">
        <f t="shared" si="12"/>
        <v>263</v>
      </c>
      <c r="I233" s="14"/>
      <c r="J233" s="15">
        <f t="shared" si="13"/>
        <v>0</v>
      </c>
      <c r="K233" s="12" t="s">
        <v>165</v>
      </c>
      <c r="L233" s="16" t="str">
        <f t="shared" si="14"/>
        <v>9789861617725</v>
      </c>
      <c r="M233" s="29" t="str">
        <f t="shared" si="15"/>
        <v>https://search.books.com.tw/search/query/key/9789861617725</v>
      </c>
      <c r="N233" s="12" t="s">
        <v>343</v>
      </c>
      <c r="O233" s="12"/>
      <c r="P233" s="12" t="s">
        <v>25</v>
      </c>
      <c r="Q233" s="17" t="s">
        <v>523</v>
      </c>
    </row>
    <row r="234" spans="1:17" ht="24.9" customHeight="1">
      <c r="A234" s="2"/>
      <c r="B234" s="11" t="s">
        <v>1335</v>
      </c>
      <c r="C234" s="9" t="s">
        <v>1336</v>
      </c>
      <c r="D234" s="12" t="s">
        <v>1337</v>
      </c>
      <c r="E234" s="13" t="s">
        <v>1338</v>
      </c>
      <c r="F234" s="13" t="s">
        <v>1339</v>
      </c>
      <c r="G234" s="14">
        <v>300</v>
      </c>
      <c r="H234" s="14">
        <f t="shared" si="12"/>
        <v>225</v>
      </c>
      <c r="I234" s="14"/>
      <c r="J234" s="15">
        <f t="shared" si="13"/>
        <v>0</v>
      </c>
      <c r="K234" s="12" t="s">
        <v>22</v>
      </c>
      <c r="L234" s="16" t="str">
        <f t="shared" si="14"/>
        <v>9789865566401</v>
      </c>
      <c r="M234" s="29" t="str">
        <f t="shared" si="15"/>
        <v>https://search.books.com.tw/search/query/key/9789865566401</v>
      </c>
      <c r="N234" s="12" t="s">
        <v>343</v>
      </c>
      <c r="O234" s="12"/>
      <c r="P234" s="12" t="s">
        <v>45</v>
      </c>
      <c r="Q234" s="17" t="s">
        <v>1340</v>
      </c>
    </row>
    <row r="235" spans="1:17" ht="24.9" customHeight="1">
      <c r="A235" s="2"/>
      <c r="B235" s="11" t="s">
        <v>1341</v>
      </c>
      <c r="C235" s="9"/>
      <c r="D235" s="12"/>
      <c r="E235" s="13"/>
      <c r="F235" s="13"/>
      <c r="G235" s="14"/>
      <c r="H235" s="14">
        <f t="shared" si="12"/>
        <v>0</v>
      </c>
      <c r="I235" s="14"/>
      <c r="J235" s="15">
        <f t="shared" si="13"/>
        <v>0</v>
      </c>
      <c r="K235" s="12"/>
      <c r="L235" s="16">
        <f t="shared" si="14"/>
        <v>0</v>
      </c>
      <c r="M235" s="29" t="str">
        <f t="shared" si="15"/>
        <v>https://search.books.com.tw/search/query/key/</v>
      </c>
      <c r="N235" s="12"/>
      <c r="O235" s="12"/>
      <c r="P235" s="12"/>
      <c r="Q235" s="17" t="s">
        <v>1210</v>
      </c>
    </row>
    <row r="236" spans="1:17" ht="24.9" customHeight="1">
      <c r="A236" s="2"/>
      <c r="B236" s="11" t="s">
        <v>1342</v>
      </c>
      <c r="C236" s="9" t="s">
        <v>1343</v>
      </c>
      <c r="D236" s="12" t="s">
        <v>1344</v>
      </c>
      <c r="E236" s="13" t="s">
        <v>1345</v>
      </c>
      <c r="F236" s="13" t="s">
        <v>1346</v>
      </c>
      <c r="G236" s="14">
        <v>480</v>
      </c>
      <c r="H236" s="14">
        <f t="shared" si="12"/>
        <v>360</v>
      </c>
      <c r="I236" s="14"/>
      <c r="J236" s="15">
        <f t="shared" si="13"/>
        <v>0</v>
      </c>
      <c r="K236" s="12" t="s">
        <v>209</v>
      </c>
      <c r="L236" s="16" t="str">
        <f t="shared" si="14"/>
        <v>9786264170000</v>
      </c>
      <c r="M236" s="29" t="str">
        <f t="shared" si="15"/>
        <v>https://search.books.com.tw/search/query/key/9786264170000</v>
      </c>
      <c r="N236" s="12" t="s">
        <v>597</v>
      </c>
      <c r="O236" s="12"/>
      <c r="P236" s="12" t="s">
        <v>35</v>
      </c>
      <c r="Q236" s="17" t="s">
        <v>210</v>
      </c>
    </row>
    <row r="237" spans="1:17" ht="24.9" customHeight="1">
      <c r="A237" s="2"/>
      <c r="B237" s="11" t="s">
        <v>1347</v>
      </c>
      <c r="C237" s="9" t="s">
        <v>1348</v>
      </c>
      <c r="D237" s="12" t="s">
        <v>1344</v>
      </c>
      <c r="E237" s="13" t="s">
        <v>1349</v>
      </c>
      <c r="F237" s="13" t="s">
        <v>1346</v>
      </c>
      <c r="G237" s="14">
        <v>480</v>
      </c>
      <c r="H237" s="14">
        <f t="shared" si="12"/>
        <v>360</v>
      </c>
      <c r="I237" s="14"/>
      <c r="J237" s="15">
        <f t="shared" si="13"/>
        <v>0</v>
      </c>
      <c r="K237" s="12" t="s">
        <v>209</v>
      </c>
      <c r="L237" s="16" t="str">
        <f t="shared" si="14"/>
        <v>9786264170017</v>
      </c>
      <c r="M237" s="29" t="str">
        <f t="shared" si="15"/>
        <v>https://search.books.com.tw/search/query/key/9786264170017</v>
      </c>
      <c r="N237" s="12" t="s">
        <v>597</v>
      </c>
      <c r="O237" s="12"/>
      <c r="P237" s="12" t="s">
        <v>35</v>
      </c>
      <c r="Q237" s="17" t="s">
        <v>210</v>
      </c>
    </row>
    <row r="238" spans="1:17" ht="24.9" customHeight="1">
      <c r="A238" s="2"/>
      <c r="B238" s="11" t="s">
        <v>1350</v>
      </c>
      <c r="C238" s="9" t="s">
        <v>1351</v>
      </c>
      <c r="D238" s="12" t="s">
        <v>1344</v>
      </c>
      <c r="E238" s="13" t="s">
        <v>1352</v>
      </c>
      <c r="F238" s="13" t="s">
        <v>1346</v>
      </c>
      <c r="G238" s="14">
        <v>480</v>
      </c>
      <c r="H238" s="14">
        <f t="shared" si="12"/>
        <v>360</v>
      </c>
      <c r="I238" s="14"/>
      <c r="J238" s="15">
        <f t="shared" si="13"/>
        <v>0</v>
      </c>
      <c r="K238" s="12" t="s">
        <v>209</v>
      </c>
      <c r="L238" s="16" t="str">
        <f t="shared" si="14"/>
        <v>9786264170024</v>
      </c>
      <c r="M238" s="29" t="str">
        <f t="shared" si="15"/>
        <v>https://search.books.com.tw/search/query/key/9786264170024</v>
      </c>
      <c r="N238" s="12" t="s">
        <v>597</v>
      </c>
      <c r="O238" s="12"/>
      <c r="P238" s="12" t="s">
        <v>35</v>
      </c>
      <c r="Q238" s="17" t="s">
        <v>706</v>
      </c>
    </row>
    <row r="239" spans="1:17" ht="24.9" customHeight="1">
      <c r="A239" s="2"/>
      <c r="B239" s="11" t="s">
        <v>1353</v>
      </c>
      <c r="C239" s="9" t="s">
        <v>1354</v>
      </c>
      <c r="D239" s="12" t="s">
        <v>1344</v>
      </c>
      <c r="E239" s="13" t="s">
        <v>1355</v>
      </c>
      <c r="F239" s="13" t="s">
        <v>1346</v>
      </c>
      <c r="G239" s="14">
        <v>480</v>
      </c>
      <c r="H239" s="14">
        <f t="shared" si="12"/>
        <v>360</v>
      </c>
      <c r="I239" s="14"/>
      <c r="J239" s="15">
        <f t="shared" si="13"/>
        <v>0</v>
      </c>
      <c r="K239" s="12" t="s">
        <v>209</v>
      </c>
      <c r="L239" s="16" t="str">
        <f t="shared" si="14"/>
        <v>9786264170079</v>
      </c>
      <c r="M239" s="29" t="str">
        <f t="shared" si="15"/>
        <v>https://search.books.com.tw/search/query/key/9786264170079</v>
      </c>
      <c r="N239" s="12" t="s">
        <v>597</v>
      </c>
      <c r="O239" s="12"/>
      <c r="P239" s="12" t="s">
        <v>35</v>
      </c>
      <c r="Q239" s="17" t="s">
        <v>210</v>
      </c>
    </row>
    <row r="240" spans="1:17" ht="24.9" customHeight="1">
      <c r="A240" s="2"/>
      <c r="B240" s="11" t="s">
        <v>1356</v>
      </c>
      <c r="C240" s="9" t="s">
        <v>1357</v>
      </c>
      <c r="D240" s="12" t="s">
        <v>1344</v>
      </c>
      <c r="E240" s="13" t="s">
        <v>1358</v>
      </c>
      <c r="F240" s="13" t="s">
        <v>1346</v>
      </c>
      <c r="G240" s="14">
        <v>480</v>
      </c>
      <c r="H240" s="14">
        <f t="shared" si="12"/>
        <v>360</v>
      </c>
      <c r="I240" s="14"/>
      <c r="J240" s="15">
        <f t="shared" si="13"/>
        <v>0</v>
      </c>
      <c r="K240" s="12" t="s">
        <v>209</v>
      </c>
      <c r="L240" s="16" t="str">
        <f t="shared" si="14"/>
        <v>9786264170093</v>
      </c>
      <c r="M240" s="29" t="str">
        <f t="shared" si="15"/>
        <v>https://search.books.com.tw/search/query/key/9786264170093</v>
      </c>
      <c r="N240" s="12" t="s">
        <v>597</v>
      </c>
      <c r="O240" s="12"/>
      <c r="P240" s="12" t="s">
        <v>25</v>
      </c>
      <c r="Q240" s="17" t="s">
        <v>210</v>
      </c>
    </row>
    <row r="241" spans="1:17" ht="24.9" customHeight="1">
      <c r="A241" s="2"/>
      <c r="B241" s="11" t="s">
        <v>1359</v>
      </c>
      <c r="C241" s="9" t="s">
        <v>1360</v>
      </c>
      <c r="D241" s="12" t="s">
        <v>1344</v>
      </c>
      <c r="E241" s="13" t="s">
        <v>1361</v>
      </c>
      <c r="F241" s="13" t="s">
        <v>1362</v>
      </c>
      <c r="G241" s="14">
        <v>480</v>
      </c>
      <c r="H241" s="14">
        <f t="shared" si="12"/>
        <v>360</v>
      </c>
      <c r="I241" s="14"/>
      <c r="J241" s="15">
        <f t="shared" si="13"/>
        <v>0</v>
      </c>
      <c r="K241" s="12" t="s">
        <v>209</v>
      </c>
      <c r="L241" s="16" t="str">
        <f t="shared" si="14"/>
        <v>9786264170116</v>
      </c>
      <c r="M241" s="29" t="str">
        <f t="shared" si="15"/>
        <v>https://search.books.com.tw/search/query/key/9786264170116</v>
      </c>
      <c r="N241" s="12" t="s">
        <v>597</v>
      </c>
      <c r="O241" s="12"/>
      <c r="P241" s="12" t="s">
        <v>35</v>
      </c>
      <c r="Q241" s="17" t="s">
        <v>210</v>
      </c>
    </row>
    <row r="242" spans="1:17" ht="24.9" customHeight="1">
      <c r="A242" s="2"/>
      <c r="B242" s="11" t="s">
        <v>1363</v>
      </c>
      <c r="C242" s="9" t="s">
        <v>1364</v>
      </c>
      <c r="D242" s="12" t="s">
        <v>1344</v>
      </c>
      <c r="E242" s="13" t="s">
        <v>1365</v>
      </c>
      <c r="F242" s="13" t="s">
        <v>1362</v>
      </c>
      <c r="G242" s="14">
        <v>480</v>
      </c>
      <c r="H242" s="14">
        <f t="shared" si="12"/>
        <v>360</v>
      </c>
      <c r="I242" s="14"/>
      <c r="J242" s="15">
        <f t="shared" si="13"/>
        <v>0</v>
      </c>
      <c r="K242" s="12" t="s">
        <v>209</v>
      </c>
      <c r="L242" s="16" t="str">
        <f t="shared" si="14"/>
        <v>9786264170123</v>
      </c>
      <c r="M242" s="29" t="str">
        <f t="shared" si="15"/>
        <v>https://search.books.com.tw/search/query/key/9786264170123</v>
      </c>
      <c r="N242" s="12" t="s">
        <v>597</v>
      </c>
      <c r="O242" s="12"/>
      <c r="P242" s="12" t="s">
        <v>35</v>
      </c>
      <c r="Q242" s="17" t="s">
        <v>210</v>
      </c>
    </row>
    <row r="243" spans="1:17" ht="24.9" customHeight="1">
      <c r="A243" s="2"/>
      <c r="B243" s="11" t="s">
        <v>1366</v>
      </c>
      <c r="C243" s="9" t="s">
        <v>1367</v>
      </c>
      <c r="D243" s="12" t="s">
        <v>1344</v>
      </c>
      <c r="E243" s="13" t="s">
        <v>1368</v>
      </c>
      <c r="F243" s="13" t="s">
        <v>1362</v>
      </c>
      <c r="G243" s="14">
        <v>480</v>
      </c>
      <c r="H243" s="14">
        <f t="shared" si="12"/>
        <v>360</v>
      </c>
      <c r="I243" s="14"/>
      <c r="J243" s="15">
        <f t="shared" si="13"/>
        <v>0</v>
      </c>
      <c r="K243" s="12" t="s">
        <v>209</v>
      </c>
      <c r="L243" s="16" t="str">
        <f t="shared" si="14"/>
        <v>9786264170147</v>
      </c>
      <c r="M243" s="29" t="str">
        <f t="shared" si="15"/>
        <v>https://search.books.com.tw/search/query/key/9786264170147</v>
      </c>
      <c r="N243" s="12" t="s">
        <v>597</v>
      </c>
      <c r="O243" s="12"/>
      <c r="P243" s="12" t="s">
        <v>25</v>
      </c>
      <c r="Q243" s="17" t="s">
        <v>210</v>
      </c>
    </row>
    <row r="244" spans="1:17" ht="24.9" customHeight="1">
      <c r="A244" s="2"/>
      <c r="B244" s="11" t="s">
        <v>1369</v>
      </c>
      <c r="C244" s="9" t="s">
        <v>1370</v>
      </c>
      <c r="D244" s="12" t="s">
        <v>1344</v>
      </c>
      <c r="E244" s="13" t="s">
        <v>1371</v>
      </c>
      <c r="F244" s="13" t="s">
        <v>1362</v>
      </c>
      <c r="G244" s="14">
        <v>480</v>
      </c>
      <c r="H244" s="14">
        <f t="shared" si="12"/>
        <v>360</v>
      </c>
      <c r="I244" s="14"/>
      <c r="J244" s="15">
        <f t="shared" si="13"/>
        <v>0</v>
      </c>
      <c r="K244" s="12" t="s">
        <v>209</v>
      </c>
      <c r="L244" s="16" t="str">
        <f t="shared" si="14"/>
        <v>9786263559387</v>
      </c>
      <c r="M244" s="29" t="str">
        <f t="shared" si="15"/>
        <v>https://search.books.com.tw/search/query/key/9786263559387</v>
      </c>
      <c r="N244" s="12" t="s">
        <v>597</v>
      </c>
      <c r="O244" s="12"/>
      <c r="P244" s="12" t="s">
        <v>35</v>
      </c>
      <c r="Q244" s="17" t="s">
        <v>210</v>
      </c>
    </row>
    <row r="245" spans="1:17" ht="24.9" customHeight="1">
      <c r="A245" s="2"/>
      <c r="B245" s="11" t="s">
        <v>1372</v>
      </c>
      <c r="C245" s="9" t="s">
        <v>1373</v>
      </c>
      <c r="D245" s="12" t="s">
        <v>1344</v>
      </c>
      <c r="E245" s="13" t="s">
        <v>1374</v>
      </c>
      <c r="F245" s="13" t="s">
        <v>1362</v>
      </c>
      <c r="G245" s="14">
        <v>480</v>
      </c>
      <c r="H245" s="14">
        <f t="shared" si="12"/>
        <v>360</v>
      </c>
      <c r="I245" s="14"/>
      <c r="J245" s="15">
        <f t="shared" si="13"/>
        <v>0</v>
      </c>
      <c r="K245" s="12" t="s">
        <v>209</v>
      </c>
      <c r="L245" s="16" t="str">
        <f t="shared" si="14"/>
        <v>9786264170208</v>
      </c>
      <c r="M245" s="29" t="str">
        <f t="shared" si="15"/>
        <v>https://search.books.com.tw/search/query/key/9786264170208</v>
      </c>
      <c r="N245" s="12" t="s">
        <v>597</v>
      </c>
      <c r="O245" s="12"/>
      <c r="P245" s="12" t="s">
        <v>35</v>
      </c>
      <c r="Q245" s="17" t="s">
        <v>210</v>
      </c>
    </row>
    <row r="246" spans="1:17" ht="24.9" customHeight="1">
      <c r="A246" s="2"/>
      <c r="B246" s="11" t="s">
        <v>1375</v>
      </c>
      <c r="C246" s="9" t="s">
        <v>1376</v>
      </c>
      <c r="D246" s="12" t="s">
        <v>1344</v>
      </c>
      <c r="E246" s="13" t="s">
        <v>1377</v>
      </c>
      <c r="F246" s="13" t="s">
        <v>1378</v>
      </c>
      <c r="G246" s="14">
        <v>480</v>
      </c>
      <c r="H246" s="14">
        <f t="shared" si="12"/>
        <v>360</v>
      </c>
      <c r="I246" s="14"/>
      <c r="J246" s="15">
        <f t="shared" si="13"/>
        <v>0</v>
      </c>
      <c r="K246" s="12" t="s">
        <v>209</v>
      </c>
      <c r="L246" s="16" t="str">
        <f t="shared" si="14"/>
        <v>9786264171748</v>
      </c>
      <c r="M246" s="29" t="str">
        <f t="shared" si="15"/>
        <v>https://search.books.com.tw/search/query/key/9786264171748</v>
      </c>
      <c r="N246" s="12" t="s">
        <v>522</v>
      </c>
      <c r="O246" s="12"/>
      <c r="P246" s="12" t="s">
        <v>25</v>
      </c>
      <c r="Q246" s="17" t="s">
        <v>210</v>
      </c>
    </row>
    <row r="247" spans="1:17" ht="24.9" customHeight="1">
      <c r="A247" s="2"/>
      <c r="B247" s="11" t="s">
        <v>1379</v>
      </c>
      <c r="C247" s="9" t="s">
        <v>1380</v>
      </c>
      <c r="D247" s="12" t="s">
        <v>1344</v>
      </c>
      <c r="E247" s="13" t="s">
        <v>1381</v>
      </c>
      <c r="F247" s="13" t="s">
        <v>1378</v>
      </c>
      <c r="G247" s="14">
        <v>480</v>
      </c>
      <c r="H247" s="14">
        <f t="shared" si="12"/>
        <v>360</v>
      </c>
      <c r="I247" s="14"/>
      <c r="J247" s="15">
        <f t="shared" si="13"/>
        <v>0</v>
      </c>
      <c r="K247" s="12" t="s">
        <v>209</v>
      </c>
      <c r="L247" s="16" t="str">
        <f t="shared" si="14"/>
        <v>9786264171755</v>
      </c>
      <c r="M247" s="29" t="str">
        <f t="shared" si="15"/>
        <v>https://search.books.com.tw/search/query/key/9786264171755</v>
      </c>
      <c r="N247" s="12" t="s">
        <v>522</v>
      </c>
      <c r="O247" s="12"/>
      <c r="P247" s="12" t="s">
        <v>25</v>
      </c>
      <c r="Q247" s="17" t="s">
        <v>210</v>
      </c>
    </row>
    <row r="248" spans="1:17" ht="24.9" customHeight="1">
      <c r="A248" s="2"/>
      <c r="B248" s="11" t="s">
        <v>1382</v>
      </c>
      <c r="C248" s="9" t="s">
        <v>1383</v>
      </c>
      <c r="D248" s="12" t="s">
        <v>1344</v>
      </c>
      <c r="E248" s="13" t="s">
        <v>1384</v>
      </c>
      <c r="F248" s="13" t="s">
        <v>1378</v>
      </c>
      <c r="G248" s="14">
        <v>480</v>
      </c>
      <c r="H248" s="14">
        <f t="shared" si="12"/>
        <v>360</v>
      </c>
      <c r="I248" s="14"/>
      <c r="J248" s="15">
        <f t="shared" si="13"/>
        <v>0</v>
      </c>
      <c r="K248" s="12" t="s">
        <v>209</v>
      </c>
      <c r="L248" s="16" t="str">
        <f t="shared" si="14"/>
        <v>9786264171762</v>
      </c>
      <c r="M248" s="29" t="str">
        <f t="shared" si="15"/>
        <v>https://search.books.com.tw/search/query/key/9786264171762</v>
      </c>
      <c r="N248" s="12" t="s">
        <v>522</v>
      </c>
      <c r="O248" s="12"/>
      <c r="P248" s="12" t="s">
        <v>25</v>
      </c>
      <c r="Q248" s="17" t="s">
        <v>210</v>
      </c>
    </row>
    <row r="249" spans="1:17" ht="24.9" customHeight="1">
      <c r="A249" s="2"/>
      <c r="B249" s="11" t="s">
        <v>1385</v>
      </c>
      <c r="C249" s="9" t="s">
        <v>1386</v>
      </c>
      <c r="D249" s="12" t="s">
        <v>1344</v>
      </c>
      <c r="E249" s="13" t="s">
        <v>1387</v>
      </c>
      <c r="F249" s="13" t="s">
        <v>1378</v>
      </c>
      <c r="G249" s="14">
        <v>480</v>
      </c>
      <c r="H249" s="14">
        <f t="shared" si="12"/>
        <v>360</v>
      </c>
      <c r="I249" s="14"/>
      <c r="J249" s="15">
        <f t="shared" si="13"/>
        <v>0</v>
      </c>
      <c r="K249" s="12" t="s">
        <v>209</v>
      </c>
      <c r="L249" s="16" t="str">
        <f t="shared" si="14"/>
        <v>9786264171779</v>
      </c>
      <c r="M249" s="29" t="str">
        <f t="shared" si="15"/>
        <v>https://search.books.com.tw/search/query/key/9786264171779</v>
      </c>
      <c r="N249" s="12" t="s">
        <v>522</v>
      </c>
      <c r="O249" s="12"/>
      <c r="P249" s="12" t="s">
        <v>35</v>
      </c>
      <c r="Q249" s="17" t="s">
        <v>210</v>
      </c>
    </row>
    <row r="250" spans="1:17" ht="24.9" customHeight="1">
      <c r="A250" s="2"/>
      <c r="B250" s="11" t="s">
        <v>1388</v>
      </c>
      <c r="C250" s="9" t="s">
        <v>1389</v>
      </c>
      <c r="D250" s="12" t="s">
        <v>1344</v>
      </c>
      <c r="E250" s="13" t="s">
        <v>1390</v>
      </c>
      <c r="F250" s="13" t="s">
        <v>1391</v>
      </c>
      <c r="G250" s="14">
        <v>480</v>
      </c>
      <c r="H250" s="14">
        <f t="shared" si="12"/>
        <v>360</v>
      </c>
      <c r="I250" s="14"/>
      <c r="J250" s="15">
        <f t="shared" si="13"/>
        <v>0</v>
      </c>
      <c r="K250" s="12" t="s">
        <v>209</v>
      </c>
      <c r="L250" s="16" t="str">
        <f t="shared" si="14"/>
        <v>9786264172158</v>
      </c>
      <c r="M250" s="29" t="str">
        <f t="shared" si="15"/>
        <v>https://search.books.com.tw/search/query/key/9786264172158</v>
      </c>
      <c r="N250" s="12" t="s">
        <v>522</v>
      </c>
      <c r="O250" s="12"/>
      <c r="P250" s="12" t="s">
        <v>25</v>
      </c>
      <c r="Q250" s="17" t="s">
        <v>1392</v>
      </c>
    </row>
    <row r="251" spans="1:17" ht="24.9" customHeight="1">
      <c r="A251" s="2"/>
      <c r="B251" s="11" t="s">
        <v>1393</v>
      </c>
      <c r="C251" s="9" t="s">
        <v>1394</v>
      </c>
      <c r="D251" s="12" t="s">
        <v>1344</v>
      </c>
      <c r="E251" s="13" t="s">
        <v>1395</v>
      </c>
      <c r="F251" s="13" t="s">
        <v>1391</v>
      </c>
      <c r="G251" s="14">
        <v>480</v>
      </c>
      <c r="H251" s="14">
        <f t="shared" si="12"/>
        <v>360</v>
      </c>
      <c r="I251" s="14"/>
      <c r="J251" s="15">
        <f t="shared" si="13"/>
        <v>0</v>
      </c>
      <c r="K251" s="12" t="s">
        <v>209</v>
      </c>
      <c r="L251" s="16" t="str">
        <f t="shared" si="14"/>
        <v>9786264172165</v>
      </c>
      <c r="M251" s="29" t="str">
        <f t="shared" si="15"/>
        <v>https://search.books.com.tw/search/query/key/9786264172165</v>
      </c>
      <c r="N251" s="12" t="s">
        <v>522</v>
      </c>
      <c r="O251" s="12"/>
      <c r="P251" s="12" t="s">
        <v>25</v>
      </c>
      <c r="Q251" s="17" t="s">
        <v>1392</v>
      </c>
    </row>
    <row r="252" spans="1:17" ht="24.9" customHeight="1">
      <c r="A252" s="2"/>
      <c r="B252" s="11" t="s">
        <v>1396</v>
      </c>
      <c r="C252" s="9" t="s">
        <v>1397</v>
      </c>
      <c r="D252" s="12" t="s">
        <v>1344</v>
      </c>
      <c r="E252" s="13" t="s">
        <v>1398</v>
      </c>
      <c r="F252" s="13" t="s">
        <v>1391</v>
      </c>
      <c r="G252" s="14">
        <v>480</v>
      </c>
      <c r="H252" s="14">
        <f t="shared" si="12"/>
        <v>360</v>
      </c>
      <c r="I252" s="14"/>
      <c r="J252" s="15">
        <f t="shared" si="13"/>
        <v>0</v>
      </c>
      <c r="K252" s="12" t="s">
        <v>209</v>
      </c>
      <c r="L252" s="16" t="str">
        <f t="shared" si="14"/>
        <v>9786264172172</v>
      </c>
      <c r="M252" s="29" t="str">
        <f t="shared" si="15"/>
        <v>https://search.books.com.tw/search/query/key/9786264172172</v>
      </c>
      <c r="N252" s="12" t="s">
        <v>522</v>
      </c>
      <c r="O252" s="12"/>
      <c r="P252" s="12" t="s">
        <v>25</v>
      </c>
      <c r="Q252" s="17" t="s">
        <v>210</v>
      </c>
    </row>
    <row r="253" spans="1:17" ht="24.9" customHeight="1">
      <c r="A253" s="2"/>
      <c r="B253" s="11" t="s">
        <v>1399</v>
      </c>
      <c r="C253" s="9" t="s">
        <v>1400</v>
      </c>
      <c r="D253" s="12" t="s">
        <v>1344</v>
      </c>
      <c r="E253" s="13" t="s">
        <v>1401</v>
      </c>
      <c r="F253" s="13" t="s">
        <v>1391</v>
      </c>
      <c r="G253" s="14">
        <v>480</v>
      </c>
      <c r="H253" s="14">
        <f t="shared" si="12"/>
        <v>360</v>
      </c>
      <c r="I253" s="14"/>
      <c r="J253" s="15">
        <f t="shared" si="13"/>
        <v>0</v>
      </c>
      <c r="K253" s="12" t="s">
        <v>209</v>
      </c>
      <c r="L253" s="16" t="str">
        <f t="shared" si="14"/>
        <v>9786264172189</v>
      </c>
      <c r="M253" s="29" t="str">
        <f t="shared" si="15"/>
        <v>https://search.books.com.tw/search/query/key/9786264172189</v>
      </c>
      <c r="N253" s="12" t="s">
        <v>522</v>
      </c>
      <c r="O253" s="12"/>
      <c r="P253" s="12" t="s">
        <v>25</v>
      </c>
      <c r="Q253" s="17" t="s">
        <v>1392</v>
      </c>
    </row>
    <row r="254" spans="1:17" ht="24.9" customHeight="1">
      <c r="A254" s="2"/>
      <c r="B254" s="11" t="s">
        <v>1402</v>
      </c>
      <c r="C254" s="9" t="s">
        <v>1403</v>
      </c>
      <c r="D254" s="12" t="s">
        <v>1344</v>
      </c>
      <c r="E254" s="13" t="s">
        <v>1404</v>
      </c>
      <c r="F254" s="13" t="s">
        <v>1405</v>
      </c>
      <c r="G254" s="14">
        <v>480</v>
      </c>
      <c r="H254" s="14">
        <f t="shared" si="12"/>
        <v>360</v>
      </c>
      <c r="I254" s="14"/>
      <c r="J254" s="15">
        <f t="shared" si="13"/>
        <v>0</v>
      </c>
      <c r="K254" s="12" t="s">
        <v>209</v>
      </c>
      <c r="L254" s="16" t="str">
        <f t="shared" si="14"/>
        <v>9786264172615</v>
      </c>
      <c r="M254" s="29" t="str">
        <f t="shared" si="15"/>
        <v>https://search.books.com.tw/search/query/key/9786264172615</v>
      </c>
      <c r="N254" s="12" t="s">
        <v>597</v>
      </c>
      <c r="O254" s="12"/>
      <c r="P254" s="12" t="s">
        <v>25</v>
      </c>
      <c r="Q254" s="17" t="s">
        <v>210</v>
      </c>
    </row>
    <row r="255" spans="1:17" ht="24.9" customHeight="1">
      <c r="A255" s="2"/>
      <c r="B255" s="11" t="s">
        <v>1406</v>
      </c>
      <c r="C255" s="9" t="s">
        <v>1407</v>
      </c>
      <c r="D255" s="12" t="s">
        <v>1344</v>
      </c>
      <c r="E255" s="13" t="s">
        <v>1408</v>
      </c>
      <c r="F255" s="13" t="s">
        <v>1405</v>
      </c>
      <c r="G255" s="14">
        <v>480</v>
      </c>
      <c r="H255" s="14">
        <f t="shared" si="12"/>
        <v>360</v>
      </c>
      <c r="I255" s="14"/>
      <c r="J255" s="15">
        <f t="shared" si="13"/>
        <v>0</v>
      </c>
      <c r="K255" s="12" t="s">
        <v>209</v>
      </c>
      <c r="L255" s="16" t="str">
        <f t="shared" si="14"/>
        <v>9786264172622</v>
      </c>
      <c r="M255" s="29" t="str">
        <f t="shared" si="15"/>
        <v>https://search.books.com.tw/search/query/key/9786264172622</v>
      </c>
      <c r="N255" s="12" t="s">
        <v>597</v>
      </c>
      <c r="O255" s="12"/>
      <c r="P255" s="12" t="s">
        <v>25</v>
      </c>
      <c r="Q255" s="17" t="s">
        <v>210</v>
      </c>
    </row>
    <row r="256" spans="1:17" ht="24.9" customHeight="1">
      <c r="A256" s="2"/>
      <c r="B256" s="11" t="s">
        <v>1409</v>
      </c>
      <c r="C256" s="9" t="s">
        <v>1410</v>
      </c>
      <c r="D256" s="12" t="s">
        <v>1344</v>
      </c>
      <c r="E256" s="13" t="s">
        <v>1411</v>
      </c>
      <c r="F256" s="13" t="s">
        <v>1405</v>
      </c>
      <c r="G256" s="14">
        <v>480</v>
      </c>
      <c r="H256" s="14">
        <f t="shared" si="12"/>
        <v>360</v>
      </c>
      <c r="I256" s="14"/>
      <c r="J256" s="15">
        <f t="shared" si="13"/>
        <v>0</v>
      </c>
      <c r="K256" s="12" t="s">
        <v>209</v>
      </c>
      <c r="L256" s="16" t="str">
        <f t="shared" si="14"/>
        <v>9786264172639</v>
      </c>
      <c r="M256" s="29" t="str">
        <f t="shared" si="15"/>
        <v>https://search.books.com.tw/search/query/key/9786264172639</v>
      </c>
      <c r="N256" s="12" t="s">
        <v>597</v>
      </c>
      <c r="O256" s="12"/>
      <c r="P256" s="12" t="s">
        <v>25</v>
      </c>
      <c r="Q256" s="17" t="s">
        <v>210</v>
      </c>
    </row>
    <row r="257" spans="1:17" ht="24.9" customHeight="1">
      <c r="A257" s="2"/>
      <c r="B257" s="11" t="s">
        <v>1412</v>
      </c>
      <c r="C257" s="9" t="s">
        <v>1413</v>
      </c>
      <c r="D257" s="12" t="s">
        <v>1344</v>
      </c>
      <c r="E257" s="13" t="s">
        <v>1414</v>
      </c>
      <c r="F257" s="13" t="s">
        <v>1405</v>
      </c>
      <c r="G257" s="14">
        <v>480</v>
      </c>
      <c r="H257" s="14">
        <f t="shared" si="12"/>
        <v>360</v>
      </c>
      <c r="I257" s="14"/>
      <c r="J257" s="15">
        <f t="shared" si="13"/>
        <v>0</v>
      </c>
      <c r="K257" s="12" t="s">
        <v>209</v>
      </c>
      <c r="L257" s="16" t="str">
        <f t="shared" si="14"/>
        <v>9786264172646</v>
      </c>
      <c r="M257" s="29" t="str">
        <f t="shared" si="15"/>
        <v>https://search.books.com.tw/search/query/key/9786264172646</v>
      </c>
      <c r="N257" s="12" t="s">
        <v>597</v>
      </c>
      <c r="O257" s="12"/>
      <c r="P257" s="12" t="s">
        <v>25</v>
      </c>
      <c r="Q257" s="17" t="s">
        <v>210</v>
      </c>
    </row>
    <row r="258" spans="1:17" ht="24.9" customHeight="1">
      <c r="A258" s="2"/>
      <c r="B258" s="11" t="s">
        <v>1415</v>
      </c>
      <c r="C258" s="9" t="s">
        <v>1416</v>
      </c>
      <c r="D258" s="12" t="s">
        <v>1417</v>
      </c>
      <c r="E258" s="13" t="s">
        <v>1418</v>
      </c>
      <c r="F258" s="13" t="s">
        <v>1419</v>
      </c>
      <c r="G258" s="14">
        <v>380</v>
      </c>
      <c r="H258" s="14">
        <f t="shared" ref="H258:H321" si="16">ROUND(G258*75%,0)</f>
        <v>285</v>
      </c>
      <c r="I258" s="14"/>
      <c r="J258" s="15">
        <f t="shared" ref="J258:J321" si="17">H258*I258</f>
        <v>0</v>
      </c>
      <c r="K258" s="12" t="s">
        <v>232</v>
      </c>
      <c r="L258" s="16" t="str">
        <f t="shared" ref="L258:L321" si="18">HYPERLINK(M258,E258)</f>
        <v>9789860653939</v>
      </c>
      <c r="M258" s="29" t="str">
        <f t="shared" ref="M258:M321" si="19">"https://search.books.com.tw/search/query/key/"&amp;E258</f>
        <v>https://search.books.com.tw/search/query/key/9789860653939</v>
      </c>
      <c r="N258" s="12" t="s">
        <v>343</v>
      </c>
      <c r="O258" s="12"/>
      <c r="P258" s="12" t="s">
        <v>25</v>
      </c>
      <c r="Q258" s="17" t="s">
        <v>1420</v>
      </c>
    </row>
    <row r="259" spans="1:17" ht="24.9" customHeight="1">
      <c r="A259" s="2"/>
      <c r="B259" s="11" t="s">
        <v>1421</v>
      </c>
      <c r="C259" s="9" t="s">
        <v>1422</v>
      </c>
      <c r="D259" s="12" t="s">
        <v>1423</v>
      </c>
      <c r="E259" s="13" t="s">
        <v>1424</v>
      </c>
      <c r="F259" s="13" t="s">
        <v>1425</v>
      </c>
      <c r="G259" s="14">
        <v>350</v>
      </c>
      <c r="H259" s="14">
        <f t="shared" si="16"/>
        <v>263</v>
      </c>
      <c r="I259" s="14"/>
      <c r="J259" s="15">
        <f t="shared" si="17"/>
        <v>0</v>
      </c>
      <c r="K259" s="12" t="s">
        <v>22</v>
      </c>
      <c r="L259" s="16" t="str">
        <f t="shared" si="18"/>
        <v>9789865513818</v>
      </c>
      <c r="M259" s="29" t="str">
        <f t="shared" si="19"/>
        <v>https://search.books.com.tw/search/query/key/9789865513818</v>
      </c>
      <c r="N259" s="12" t="s">
        <v>343</v>
      </c>
      <c r="O259" s="12"/>
      <c r="P259" s="12" t="s">
        <v>45</v>
      </c>
      <c r="Q259" s="17" t="s">
        <v>1426</v>
      </c>
    </row>
    <row r="260" spans="1:17" ht="24.9" customHeight="1">
      <c r="A260" s="2"/>
      <c r="B260" s="11" t="s">
        <v>1427</v>
      </c>
      <c r="C260" s="9" t="s">
        <v>1428</v>
      </c>
      <c r="D260" s="12" t="s">
        <v>1282</v>
      </c>
      <c r="E260" s="13" t="s">
        <v>1429</v>
      </c>
      <c r="F260" s="13" t="s">
        <v>1430</v>
      </c>
      <c r="G260" s="14">
        <v>390</v>
      </c>
      <c r="H260" s="14">
        <f t="shared" si="16"/>
        <v>293</v>
      </c>
      <c r="I260" s="14"/>
      <c r="J260" s="15">
        <f t="shared" si="17"/>
        <v>0</v>
      </c>
      <c r="K260" s="12" t="s">
        <v>1431</v>
      </c>
      <c r="L260" s="16" t="str">
        <f t="shared" si="18"/>
        <v>9789574907564</v>
      </c>
      <c r="M260" s="29" t="str">
        <f t="shared" si="19"/>
        <v>https://search.books.com.tw/search/query/key/9789574907564</v>
      </c>
      <c r="N260" s="12" t="s">
        <v>1029</v>
      </c>
      <c r="O260" s="12"/>
      <c r="P260" s="12" t="s">
        <v>45</v>
      </c>
      <c r="Q260" s="17" t="s">
        <v>1432</v>
      </c>
    </row>
    <row r="261" spans="1:17" ht="24.9" customHeight="1">
      <c r="A261" s="2"/>
      <c r="B261" s="11" t="s">
        <v>1433</v>
      </c>
      <c r="C261" s="9" t="s">
        <v>1434</v>
      </c>
      <c r="D261" s="12" t="s">
        <v>1435</v>
      </c>
      <c r="E261" s="13" t="s">
        <v>1436</v>
      </c>
      <c r="F261" s="13" t="s">
        <v>1437</v>
      </c>
      <c r="G261" s="14">
        <v>380</v>
      </c>
      <c r="H261" s="14">
        <f t="shared" si="16"/>
        <v>285</v>
      </c>
      <c r="I261" s="14"/>
      <c r="J261" s="15">
        <f t="shared" si="17"/>
        <v>0</v>
      </c>
      <c r="K261" s="12" t="s">
        <v>22</v>
      </c>
      <c r="L261" s="16" t="str">
        <f t="shared" si="18"/>
        <v>9786267632369</v>
      </c>
      <c r="M261" s="29" t="str">
        <f t="shared" si="19"/>
        <v>https://search.books.com.tw/search/query/key/9786267632369</v>
      </c>
      <c r="N261" s="12" t="s">
        <v>597</v>
      </c>
      <c r="O261" s="12"/>
      <c r="P261" s="12" t="s">
        <v>45</v>
      </c>
      <c r="Q261" s="17" t="s">
        <v>713</v>
      </c>
    </row>
    <row r="262" spans="1:17" ht="24.9" customHeight="1">
      <c r="A262" s="2"/>
      <c r="B262" s="11" t="s">
        <v>1438</v>
      </c>
      <c r="C262" s="9" t="s">
        <v>1439</v>
      </c>
      <c r="D262" s="12" t="s">
        <v>1440</v>
      </c>
      <c r="E262" s="13" t="s">
        <v>1441</v>
      </c>
      <c r="F262" s="13" t="s">
        <v>1442</v>
      </c>
      <c r="G262" s="14">
        <v>400</v>
      </c>
      <c r="H262" s="14">
        <f t="shared" si="16"/>
        <v>300</v>
      </c>
      <c r="I262" s="14"/>
      <c r="J262" s="15">
        <f t="shared" si="17"/>
        <v>0</v>
      </c>
      <c r="K262" s="12" t="s">
        <v>22</v>
      </c>
      <c r="L262" s="16" t="str">
        <f t="shared" si="18"/>
        <v>9786267632550</v>
      </c>
      <c r="M262" s="29" t="str">
        <f t="shared" si="19"/>
        <v>https://search.books.com.tw/search/query/key/9786267632550</v>
      </c>
      <c r="N262" s="12" t="s">
        <v>343</v>
      </c>
      <c r="O262" s="12"/>
      <c r="P262" s="12" t="s">
        <v>45</v>
      </c>
      <c r="Q262" s="17" t="s">
        <v>677</v>
      </c>
    </row>
    <row r="263" spans="1:17" ht="24.9" customHeight="1">
      <c r="A263" s="2"/>
      <c r="B263" s="11" t="s">
        <v>1443</v>
      </c>
      <c r="C263" s="9" t="s">
        <v>1444</v>
      </c>
      <c r="D263" s="12" t="s">
        <v>1445</v>
      </c>
      <c r="E263" s="13" t="s">
        <v>1446</v>
      </c>
      <c r="F263" s="13" t="s">
        <v>1447</v>
      </c>
      <c r="G263" s="14">
        <v>380</v>
      </c>
      <c r="H263" s="14">
        <f t="shared" si="16"/>
        <v>285</v>
      </c>
      <c r="I263" s="14"/>
      <c r="J263" s="15">
        <f t="shared" si="17"/>
        <v>0</v>
      </c>
      <c r="K263" s="12" t="s">
        <v>22</v>
      </c>
      <c r="L263" s="16" t="str">
        <f t="shared" si="18"/>
        <v>9786267632055</v>
      </c>
      <c r="M263" s="29" t="str">
        <f t="shared" si="19"/>
        <v>https://search.books.com.tw/search/query/key/9786267632055</v>
      </c>
      <c r="N263" s="12" t="s">
        <v>343</v>
      </c>
      <c r="O263" s="12"/>
      <c r="P263" s="12" t="s">
        <v>45</v>
      </c>
      <c r="Q263" s="17" t="s">
        <v>523</v>
      </c>
    </row>
    <row r="264" spans="1:17" ht="24.9" customHeight="1">
      <c r="A264" s="2"/>
      <c r="B264" s="11" t="s">
        <v>1448</v>
      </c>
      <c r="C264" s="9" t="s">
        <v>1449</v>
      </c>
      <c r="D264" s="12" t="s">
        <v>417</v>
      </c>
      <c r="E264" s="13" t="s">
        <v>1450</v>
      </c>
      <c r="F264" s="13" t="s">
        <v>118</v>
      </c>
      <c r="G264" s="14">
        <v>290</v>
      </c>
      <c r="H264" s="14">
        <f t="shared" si="16"/>
        <v>218</v>
      </c>
      <c r="I264" s="14"/>
      <c r="J264" s="15">
        <f t="shared" si="17"/>
        <v>0</v>
      </c>
      <c r="K264" s="12" t="s">
        <v>22</v>
      </c>
      <c r="L264" s="16" t="str">
        <f t="shared" si="18"/>
        <v>9789862118368</v>
      </c>
      <c r="M264" s="29" t="str">
        <f t="shared" si="19"/>
        <v>https://search.books.com.tw/search/query/key/9789862118368</v>
      </c>
      <c r="N264" s="12" t="s">
        <v>43</v>
      </c>
      <c r="O264" s="12"/>
      <c r="P264" s="12" t="s">
        <v>45</v>
      </c>
      <c r="Q264" s="17" t="s">
        <v>46</v>
      </c>
    </row>
    <row r="265" spans="1:17" ht="24.9" customHeight="1">
      <c r="A265" s="2"/>
      <c r="B265" s="11" t="s">
        <v>1451</v>
      </c>
      <c r="C265" s="9" t="s">
        <v>1452</v>
      </c>
      <c r="D265" s="12" t="s">
        <v>1453</v>
      </c>
      <c r="E265" s="13" t="s">
        <v>1454</v>
      </c>
      <c r="F265" s="13" t="s">
        <v>1455</v>
      </c>
      <c r="G265" s="14">
        <v>420</v>
      </c>
      <c r="H265" s="14">
        <f t="shared" si="16"/>
        <v>315</v>
      </c>
      <c r="I265" s="14"/>
      <c r="J265" s="15">
        <f t="shared" si="17"/>
        <v>0</v>
      </c>
      <c r="K265" s="12" t="s">
        <v>596</v>
      </c>
      <c r="L265" s="16" t="str">
        <f t="shared" si="18"/>
        <v>9786267388273</v>
      </c>
      <c r="M265" s="29" t="str">
        <f t="shared" si="19"/>
        <v>https://search.books.com.tw/search/query/key/9786267388273</v>
      </c>
      <c r="N265" s="12" t="s">
        <v>33</v>
      </c>
      <c r="O265" s="12"/>
      <c r="P265" s="12" t="s">
        <v>45</v>
      </c>
      <c r="Q265" s="17" t="s">
        <v>1456</v>
      </c>
    </row>
    <row r="266" spans="1:17" ht="24.9" customHeight="1">
      <c r="A266" s="2"/>
      <c r="B266" s="11" t="s">
        <v>1457</v>
      </c>
      <c r="C266" s="9" t="s">
        <v>1458</v>
      </c>
      <c r="D266" s="12" t="s">
        <v>1459</v>
      </c>
      <c r="E266" s="13" t="s">
        <v>1460</v>
      </c>
      <c r="F266" s="13" t="s">
        <v>1461</v>
      </c>
      <c r="G266" s="14">
        <v>500</v>
      </c>
      <c r="H266" s="14">
        <f t="shared" si="16"/>
        <v>375</v>
      </c>
      <c r="I266" s="14"/>
      <c r="J266" s="15">
        <f t="shared" si="17"/>
        <v>0</v>
      </c>
      <c r="K266" s="12" t="s">
        <v>349</v>
      </c>
      <c r="L266" s="16" t="str">
        <f t="shared" si="18"/>
        <v>9786267267929</v>
      </c>
      <c r="M266" s="29" t="str">
        <f t="shared" si="19"/>
        <v>https://search.books.com.tw/search/query/key/9786267267929</v>
      </c>
      <c r="N266" s="12" t="s">
        <v>343</v>
      </c>
      <c r="O266" s="12"/>
      <c r="P266" s="12" t="s">
        <v>45</v>
      </c>
      <c r="Q266" s="17" t="s">
        <v>1462</v>
      </c>
    </row>
    <row r="267" spans="1:17" ht="24.9" customHeight="1">
      <c r="A267" s="2"/>
      <c r="B267" s="11" t="s">
        <v>1463</v>
      </c>
      <c r="C267" s="9" t="s">
        <v>1464</v>
      </c>
      <c r="D267" s="12" t="s">
        <v>1465</v>
      </c>
      <c r="E267" s="13" t="s">
        <v>1466</v>
      </c>
      <c r="F267" s="13" t="s">
        <v>1467</v>
      </c>
      <c r="G267" s="14">
        <v>350</v>
      </c>
      <c r="H267" s="14">
        <f t="shared" si="16"/>
        <v>263</v>
      </c>
      <c r="I267" s="14"/>
      <c r="J267" s="15">
        <f t="shared" si="17"/>
        <v>0</v>
      </c>
      <c r="K267" s="12" t="s">
        <v>125</v>
      </c>
      <c r="L267" s="16" t="str">
        <f t="shared" si="18"/>
        <v>9789864508464</v>
      </c>
      <c r="M267" s="29" t="str">
        <f t="shared" si="19"/>
        <v>https://search.books.com.tw/search/query/key/9789864508464</v>
      </c>
      <c r="N267" s="12" t="s">
        <v>33</v>
      </c>
      <c r="O267" s="12"/>
      <c r="P267" s="12" t="s">
        <v>45</v>
      </c>
      <c r="Q267" s="17" t="s">
        <v>1154</v>
      </c>
    </row>
    <row r="268" spans="1:17" ht="24.9" customHeight="1">
      <c r="A268" s="2"/>
      <c r="B268" s="11" t="s">
        <v>1468</v>
      </c>
      <c r="C268" s="9" t="s">
        <v>1469</v>
      </c>
      <c r="D268" s="12" t="s">
        <v>1470</v>
      </c>
      <c r="E268" s="13" t="s">
        <v>1471</v>
      </c>
      <c r="F268" s="13" t="s">
        <v>1472</v>
      </c>
      <c r="G268" s="14">
        <v>580</v>
      </c>
      <c r="H268" s="14">
        <f t="shared" si="16"/>
        <v>435</v>
      </c>
      <c r="I268" s="14"/>
      <c r="J268" s="15">
        <f t="shared" si="17"/>
        <v>0</v>
      </c>
      <c r="K268" s="12" t="s">
        <v>567</v>
      </c>
      <c r="L268" s="16" t="str">
        <f t="shared" si="18"/>
        <v>9786264199643</v>
      </c>
      <c r="M268" s="29" t="str">
        <f t="shared" si="19"/>
        <v>https://search.books.com.tw/search/query/key/9786264199643</v>
      </c>
      <c r="N268" s="12" t="s">
        <v>33</v>
      </c>
      <c r="O268" s="12"/>
      <c r="P268" s="12" t="s">
        <v>35</v>
      </c>
      <c r="Q268" s="17" t="s">
        <v>139</v>
      </c>
    </row>
    <row r="269" spans="1:17" ht="24.9" customHeight="1">
      <c r="A269" s="2"/>
      <c r="B269" s="11" t="s">
        <v>1473</v>
      </c>
      <c r="C269" s="9" t="s">
        <v>1474</v>
      </c>
      <c r="D269" s="12" t="s">
        <v>1475</v>
      </c>
      <c r="E269" s="13" t="s">
        <v>1476</v>
      </c>
      <c r="F269" s="13" t="s">
        <v>1477</v>
      </c>
      <c r="G269" s="14">
        <v>350</v>
      </c>
      <c r="H269" s="14">
        <f t="shared" si="16"/>
        <v>263</v>
      </c>
      <c r="I269" s="14"/>
      <c r="J269" s="15">
        <f t="shared" si="17"/>
        <v>0</v>
      </c>
      <c r="K269" s="12" t="s">
        <v>22</v>
      </c>
      <c r="L269" s="16" t="str">
        <f t="shared" si="18"/>
        <v>9786267237717</v>
      </c>
      <c r="M269" s="29" t="str">
        <f t="shared" si="19"/>
        <v>https://search.books.com.tw/search/query/key/9786267237717</v>
      </c>
      <c r="N269" s="12" t="s">
        <v>343</v>
      </c>
      <c r="O269" s="12"/>
      <c r="P269" s="12" t="s">
        <v>45</v>
      </c>
      <c r="Q269" s="17" t="s">
        <v>523</v>
      </c>
    </row>
    <row r="270" spans="1:17" ht="24.9" customHeight="1">
      <c r="A270" s="2"/>
      <c r="B270" s="11" t="s">
        <v>1478</v>
      </c>
      <c r="C270" s="9" t="s">
        <v>1479</v>
      </c>
      <c r="D270" s="12" t="s">
        <v>1480</v>
      </c>
      <c r="E270" s="13" t="s">
        <v>1481</v>
      </c>
      <c r="F270" s="13" t="s">
        <v>1482</v>
      </c>
      <c r="G270" s="14">
        <v>350</v>
      </c>
      <c r="H270" s="14">
        <f t="shared" si="16"/>
        <v>263</v>
      </c>
      <c r="I270" s="14"/>
      <c r="J270" s="15">
        <f t="shared" si="17"/>
        <v>0</v>
      </c>
      <c r="K270" s="12" t="s">
        <v>22</v>
      </c>
      <c r="L270" s="16" t="str">
        <f t="shared" si="18"/>
        <v>9789865566135</v>
      </c>
      <c r="M270" s="29" t="str">
        <f t="shared" si="19"/>
        <v>https://search.books.com.tw/search/query/key/9789865566135</v>
      </c>
      <c r="N270" s="12" t="s">
        <v>43</v>
      </c>
      <c r="O270" s="12"/>
      <c r="P270" s="12" t="s">
        <v>45</v>
      </c>
      <c r="Q270" s="17" t="s">
        <v>605</v>
      </c>
    </row>
    <row r="271" spans="1:17" ht="24.9" customHeight="1">
      <c r="A271" s="2"/>
      <c r="B271" s="11" t="s">
        <v>1483</v>
      </c>
      <c r="C271" s="9" t="s">
        <v>1484</v>
      </c>
      <c r="D271" s="12" t="s">
        <v>1480</v>
      </c>
      <c r="E271" s="13" t="s">
        <v>1485</v>
      </c>
      <c r="F271" s="13" t="s">
        <v>1486</v>
      </c>
      <c r="G271" s="14">
        <v>350</v>
      </c>
      <c r="H271" s="14">
        <f t="shared" si="16"/>
        <v>263</v>
      </c>
      <c r="I271" s="14"/>
      <c r="J271" s="15">
        <f t="shared" si="17"/>
        <v>0</v>
      </c>
      <c r="K271" s="12" t="s">
        <v>22</v>
      </c>
      <c r="L271" s="16" t="str">
        <f t="shared" si="18"/>
        <v>9786267237670</v>
      </c>
      <c r="M271" s="29" t="str">
        <f t="shared" si="19"/>
        <v>https://search.books.com.tw/search/query/key/9786267237670</v>
      </c>
      <c r="N271" s="12" t="s">
        <v>43</v>
      </c>
      <c r="O271" s="12"/>
      <c r="P271" s="12" t="s">
        <v>45</v>
      </c>
      <c r="Q271" s="17" t="s">
        <v>523</v>
      </c>
    </row>
    <row r="272" spans="1:17" ht="24.9" customHeight="1">
      <c r="A272" s="2"/>
      <c r="B272" s="11" t="s">
        <v>1487</v>
      </c>
      <c r="C272" s="9" t="s">
        <v>1488</v>
      </c>
      <c r="D272" s="12" t="s">
        <v>1489</v>
      </c>
      <c r="E272" s="13" t="s">
        <v>1490</v>
      </c>
      <c r="F272" s="13" t="s">
        <v>1491</v>
      </c>
      <c r="G272" s="14">
        <v>460</v>
      </c>
      <c r="H272" s="14">
        <f t="shared" si="16"/>
        <v>345</v>
      </c>
      <c r="I272" s="14"/>
      <c r="J272" s="15">
        <f t="shared" si="17"/>
        <v>0</v>
      </c>
      <c r="K272" s="12" t="s">
        <v>32</v>
      </c>
      <c r="L272" s="16" t="str">
        <f t="shared" si="18"/>
        <v>9786264180146</v>
      </c>
      <c r="M272" s="29" t="str">
        <f t="shared" si="19"/>
        <v>https://search.books.com.tw/search/query/key/9786264180146</v>
      </c>
      <c r="N272" s="12" t="s">
        <v>33</v>
      </c>
      <c r="O272" s="12"/>
      <c r="P272" s="12" t="s">
        <v>384</v>
      </c>
      <c r="Q272" s="17" t="s">
        <v>1492</v>
      </c>
    </row>
    <row r="273" spans="1:17" ht="24.9" customHeight="1">
      <c r="A273" s="2"/>
      <c r="B273" s="11" t="s">
        <v>1493</v>
      </c>
      <c r="C273" s="9" t="s">
        <v>1494</v>
      </c>
      <c r="D273" s="12"/>
      <c r="E273" s="13" t="s">
        <v>1495</v>
      </c>
      <c r="F273" s="13" t="s">
        <v>1496</v>
      </c>
      <c r="G273" s="14">
        <v>380</v>
      </c>
      <c r="H273" s="14">
        <f t="shared" si="16"/>
        <v>285</v>
      </c>
      <c r="I273" s="14"/>
      <c r="J273" s="15">
        <f t="shared" si="17"/>
        <v>0</v>
      </c>
      <c r="K273" s="12" t="s">
        <v>704</v>
      </c>
      <c r="L273" s="16" t="str">
        <f t="shared" si="18"/>
        <v>4717702123499</v>
      </c>
      <c r="M273" s="29" t="str">
        <f t="shared" si="19"/>
        <v>https://search.books.com.tw/search/query/key/4717702123499</v>
      </c>
      <c r="N273" s="12" t="s">
        <v>33</v>
      </c>
      <c r="O273" s="12"/>
      <c r="P273" s="12" t="s">
        <v>35</v>
      </c>
      <c r="Q273" s="17" t="s">
        <v>1492</v>
      </c>
    </row>
    <row r="274" spans="1:17" ht="24.9" customHeight="1">
      <c r="A274" s="2"/>
      <c r="B274" s="11" t="s">
        <v>1497</v>
      </c>
      <c r="C274" s="9" t="s">
        <v>1498</v>
      </c>
      <c r="D274" s="12" t="s">
        <v>427</v>
      </c>
      <c r="E274" s="13" t="s">
        <v>1499</v>
      </c>
      <c r="F274" s="13" t="s">
        <v>1482</v>
      </c>
      <c r="G274" s="14">
        <v>320</v>
      </c>
      <c r="H274" s="14">
        <f t="shared" si="16"/>
        <v>240</v>
      </c>
      <c r="I274" s="14"/>
      <c r="J274" s="15">
        <f t="shared" si="17"/>
        <v>0</v>
      </c>
      <c r="K274" s="12" t="s">
        <v>1431</v>
      </c>
      <c r="L274" s="16" t="str">
        <f t="shared" si="18"/>
        <v>9789574904747</v>
      </c>
      <c r="M274" s="29" t="str">
        <f t="shared" si="19"/>
        <v>https://search.books.com.tw/search/query/key/9789574904747</v>
      </c>
      <c r="N274" s="12" t="s">
        <v>597</v>
      </c>
      <c r="O274" s="12"/>
      <c r="P274" s="12" t="s">
        <v>45</v>
      </c>
      <c r="Q274" s="17" t="s">
        <v>1500</v>
      </c>
    </row>
    <row r="275" spans="1:17" ht="24.9" customHeight="1">
      <c r="A275" s="2"/>
      <c r="B275" s="11" t="s">
        <v>1501</v>
      </c>
      <c r="C275" s="9" t="s">
        <v>1502</v>
      </c>
      <c r="D275" s="12" t="s">
        <v>427</v>
      </c>
      <c r="E275" s="13" t="s">
        <v>1503</v>
      </c>
      <c r="F275" s="13" t="s">
        <v>1504</v>
      </c>
      <c r="G275" s="14">
        <v>360</v>
      </c>
      <c r="H275" s="14">
        <f t="shared" si="16"/>
        <v>270</v>
      </c>
      <c r="I275" s="14"/>
      <c r="J275" s="15">
        <f t="shared" si="17"/>
        <v>0</v>
      </c>
      <c r="K275" s="12" t="s">
        <v>1431</v>
      </c>
      <c r="L275" s="16" t="str">
        <f t="shared" si="18"/>
        <v>9786267467435</v>
      </c>
      <c r="M275" s="29" t="str">
        <f t="shared" si="19"/>
        <v>https://search.books.com.tw/search/query/key/9786267467435</v>
      </c>
      <c r="N275" s="12" t="s">
        <v>23</v>
      </c>
      <c r="O275" s="12"/>
      <c r="P275" s="12" t="s">
        <v>45</v>
      </c>
      <c r="Q275" s="17" t="s">
        <v>713</v>
      </c>
    </row>
    <row r="276" spans="1:17" ht="24.9" customHeight="1">
      <c r="A276" s="2"/>
      <c r="B276" s="11" t="s">
        <v>1505</v>
      </c>
      <c r="C276" s="9"/>
      <c r="D276" s="12"/>
      <c r="E276" s="13"/>
      <c r="F276" s="13"/>
      <c r="G276" s="14"/>
      <c r="H276" s="14">
        <f t="shared" si="16"/>
        <v>0</v>
      </c>
      <c r="I276" s="14"/>
      <c r="J276" s="15">
        <f t="shared" si="17"/>
        <v>0</v>
      </c>
      <c r="K276" s="12"/>
      <c r="L276" s="16">
        <f t="shared" si="18"/>
        <v>0</v>
      </c>
      <c r="M276" s="29" t="str">
        <f t="shared" si="19"/>
        <v>https://search.books.com.tw/search/query/key/</v>
      </c>
      <c r="N276" s="12"/>
      <c r="O276" s="12"/>
      <c r="P276" s="12"/>
      <c r="Q276" s="17" t="s">
        <v>210</v>
      </c>
    </row>
    <row r="277" spans="1:17" ht="24.9" customHeight="1">
      <c r="A277" s="2"/>
      <c r="B277" s="11" t="s">
        <v>1506</v>
      </c>
      <c r="C277" s="9" t="s">
        <v>1507</v>
      </c>
      <c r="D277" s="12" t="s">
        <v>1508</v>
      </c>
      <c r="E277" s="13" t="s">
        <v>1509</v>
      </c>
      <c r="F277" s="13" t="s">
        <v>1510</v>
      </c>
      <c r="G277" s="14">
        <v>480</v>
      </c>
      <c r="H277" s="14">
        <f t="shared" si="16"/>
        <v>360</v>
      </c>
      <c r="I277" s="14"/>
      <c r="J277" s="15">
        <f t="shared" si="17"/>
        <v>0</v>
      </c>
      <c r="K277" s="12" t="s">
        <v>209</v>
      </c>
      <c r="L277" s="16" t="str">
        <f t="shared" si="18"/>
        <v>9789865256883</v>
      </c>
      <c r="M277" s="29" t="str">
        <f t="shared" si="19"/>
        <v>https://search.books.com.tw/search/query/key/9789865256883</v>
      </c>
      <c r="N277" s="12" t="s">
        <v>23</v>
      </c>
      <c r="O277" s="12"/>
      <c r="P277" s="12" t="s">
        <v>35</v>
      </c>
      <c r="Q277" s="17" t="s">
        <v>198</v>
      </c>
    </row>
    <row r="278" spans="1:17" ht="24.9" customHeight="1">
      <c r="A278" s="2"/>
      <c r="B278" s="11" t="s">
        <v>1511</v>
      </c>
      <c r="C278" s="9" t="s">
        <v>1512</v>
      </c>
      <c r="D278" s="12" t="s">
        <v>552</v>
      </c>
      <c r="E278" s="13" t="s">
        <v>1513</v>
      </c>
      <c r="F278" s="13" t="s">
        <v>1510</v>
      </c>
      <c r="G278" s="14">
        <v>480</v>
      </c>
      <c r="H278" s="14">
        <f t="shared" si="16"/>
        <v>360</v>
      </c>
      <c r="I278" s="14"/>
      <c r="J278" s="15">
        <f t="shared" si="17"/>
        <v>0</v>
      </c>
      <c r="K278" s="12" t="s">
        <v>209</v>
      </c>
      <c r="L278" s="16" t="str">
        <f t="shared" si="18"/>
        <v>9789865256906</v>
      </c>
      <c r="M278" s="29" t="str">
        <f t="shared" si="19"/>
        <v>https://search.books.com.tw/search/query/key/9789865256906</v>
      </c>
      <c r="N278" s="12" t="s">
        <v>23</v>
      </c>
      <c r="O278" s="12"/>
      <c r="P278" s="12" t="s">
        <v>535</v>
      </c>
      <c r="Q278" s="17" t="s">
        <v>1514</v>
      </c>
    </row>
    <row r="279" spans="1:17" ht="24.9" customHeight="1">
      <c r="A279" s="2"/>
      <c r="B279" s="11" t="s">
        <v>1515</v>
      </c>
      <c r="C279" s="9" t="s">
        <v>1516</v>
      </c>
      <c r="D279" s="12" t="s">
        <v>1517</v>
      </c>
      <c r="E279" s="13" t="s">
        <v>1518</v>
      </c>
      <c r="F279" s="13" t="s">
        <v>1510</v>
      </c>
      <c r="G279" s="14">
        <v>480</v>
      </c>
      <c r="H279" s="14">
        <f t="shared" si="16"/>
        <v>360</v>
      </c>
      <c r="I279" s="14"/>
      <c r="J279" s="15">
        <f t="shared" si="17"/>
        <v>0</v>
      </c>
      <c r="K279" s="12" t="s">
        <v>209</v>
      </c>
      <c r="L279" s="16" t="str">
        <f t="shared" si="18"/>
        <v>9789865256890</v>
      </c>
      <c r="M279" s="29" t="str">
        <f t="shared" si="19"/>
        <v>https://search.books.com.tw/search/query/key/9789865256890</v>
      </c>
      <c r="N279" s="12" t="s">
        <v>23</v>
      </c>
      <c r="O279" s="12"/>
      <c r="P279" s="12" t="s">
        <v>35</v>
      </c>
      <c r="Q279" s="17" t="s">
        <v>198</v>
      </c>
    </row>
    <row r="280" spans="1:17" ht="24.9" customHeight="1">
      <c r="A280" s="2"/>
      <c r="B280" s="11" t="s">
        <v>1519</v>
      </c>
      <c r="C280" s="9" t="s">
        <v>1520</v>
      </c>
      <c r="D280" s="12" t="s">
        <v>1521</v>
      </c>
      <c r="E280" s="13" t="s">
        <v>1522</v>
      </c>
      <c r="F280" s="13" t="s">
        <v>1523</v>
      </c>
      <c r="G280" s="14">
        <v>350</v>
      </c>
      <c r="H280" s="14">
        <f t="shared" si="16"/>
        <v>263</v>
      </c>
      <c r="I280" s="14"/>
      <c r="J280" s="15">
        <f t="shared" si="17"/>
        <v>0</v>
      </c>
      <c r="K280" s="12" t="s">
        <v>209</v>
      </c>
      <c r="L280" s="16" t="str">
        <f t="shared" si="18"/>
        <v>9786263556829</v>
      </c>
      <c r="M280" s="29" t="str">
        <f t="shared" si="19"/>
        <v>https://search.books.com.tw/search/query/key/9786263556829</v>
      </c>
      <c r="N280" s="12" t="s">
        <v>23</v>
      </c>
      <c r="O280" s="12"/>
      <c r="P280" s="12" t="s">
        <v>45</v>
      </c>
      <c r="Q280" s="17" t="s">
        <v>1524</v>
      </c>
    </row>
    <row r="281" spans="1:17" ht="24.9" customHeight="1">
      <c r="A281" s="2"/>
      <c r="B281" s="11" t="s">
        <v>1525</v>
      </c>
      <c r="C281" s="9" t="s">
        <v>1526</v>
      </c>
      <c r="D281" s="12" t="s">
        <v>1521</v>
      </c>
      <c r="E281" s="13" t="s">
        <v>1527</v>
      </c>
      <c r="F281" s="13" t="s">
        <v>1523</v>
      </c>
      <c r="G281" s="14">
        <v>350</v>
      </c>
      <c r="H281" s="14">
        <f t="shared" si="16"/>
        <v>263</v>
      </c>
      <c r="I281" s="14"/>
      <c r="J281" s="15">
        <f t="shared" si="17"/>
        <v>0</v>
      </c>
      <c r="K281" s="12" t="s">
        <v>209</v>
      </c>
      <c r="L281" s="16" t="str">
        <f t="shared" si="18"/>
        <v>9786263556836</v>
      </c>
      <c r="M281" s="29" t="str">
        <f t="shared" si="19"/>
        <v>https://search.books.com.tw/search/query/key/9786263556836</v>
      </c>
      <c r="N281" s="12" t="s">
        <v>23</v>
      </c>
      <c r="O281" s="12"/>
      <c r="P281" s="12" t="s">
        <v>45</v>
      </c>
      <c r="Q281" s="17" t="s">
        <v>239</v>
      </c>
    </row>
    <row r="282" spans="1:17" ht="24.9" customHeight="1">
      <c r="A282" s="2"/>
      <c r="B282" s="11" t="s">
        <v>1528</v>
      </c>
      <c r="C282" s="9" t="s">
        <v>1529</v>
      </c>
      <c r="D282" s="12" t="s">
        <v>1530</v>
      </c>
      <c r="E282" s="13" t="s">
        <v>1531</v>
      </c>
      <c r="F282" s="13" t="s">
        <v>1248</v>
      </c>
      <c r="G282" s="14">
        <v>350</v>
      </c>
      <c r="H282" s="14">
        <f t="shared" si="16"/>
        <v>263</v>
      </c>
      <c r="I282" s="14"/>
      <c r="J282" s="15">
        <f t="shared" si="17"/>
        <v>0</v>
      </c>
      <c r="K282" s="12" t="s">
        <v>32</v>
      </c>
      <c r="L282" s="16" t="str">
        <f t="shared" si="18"/>
        <v>9786263618626</v>
      </c>
      <c r="M282" s="29" t="str">
        <f t="shared" si="19"/>
        <v>https://search.books.com.tw/search/query/key/9786263618626</v>
      </c>
      <c r="N282" s="12" t="s">
        <v>522</v>
      </c>
      <c r="O282" s="12"/>
      <c r="P282" s="12" t="s">
        <v>535</v>
      </c>
      <c r="Q282" s="17" t="s">
        <v>1514</v>
      </c>
    </row>
    <row r="283" spans="1:17" ht="24.9" customHeight="1">
      <c r="A283" s="2"/>
      <c r="B283" s="11" t="s">
        <v>1532</v>
      </c>
      <c r="C283" s="9" t="s">
        <v>1533</v>
      </c>
      <c r="D283" s="12" t="s">
        <v>1534</v>
      </c>
      <c r="E283" s="13" t="s">
        <v>1535</v>
      </c>
      <c r="F283" s="13" t="s">
        <v>1536</v>
      </c>
      <c r="G283" s="14">
        <v>480</v>
      </c>
      <c r="H283" s="14">
        <f t="shared" si="16"/>
        <v>360</v>
      </c>
      <c r="I283" s="14"/>
      <c r="J283" s="15">
        <f t="shared" si="17"/>
        <v>0</v>
      </c>
      <c r="K283" s="12" t="s">
        <v>567</v>
      </c>
      <c r="L283" s="16" t="str">
        <f t="shared" si="18"/>
        <v>9786263961555</v>
      </c>
      <c r="M283" s="29" t="str">
        <f t="shared" si="19"/>
        <v>https://search.books.com.tw/search/query/key/9786263961555</v>
      </c>
      <c r="N283" s="12" t="s">
        <v>33</v>
      </c>
      <c r="O283" s="12"/>
      <c r="P283" s="12" t="s">
        <v>25</v>
      </c>
      <c r="Q283" s="17" t="s">
        <v>1537</v>
      </c>
    </row>
    <row r="284" spans="1:17" ht="24.9" customHeight="1">
      <c r="A284" s="2"/>
      <c r="B284" s="11" t="s">
        <v>1538</v>
      </c>
      <c r="C284" s="9" t="s">
        <v>1539</v>
      </c>
      <c r="D284" s="12" t="s">
        <v>1540</v>
      </c>
      <c r="E284" s="13" t="s">
        <v>1541</v>
      </c>
      <c r="F284" s="13" t="s">
        <v>1542</v>
      </c>
      <c r="G284" s="14">
        <v>480</v>
      </c>
      <c r="H284" s="14">
        <f t="shared" si="16"/>
        <v>360</v>
      </c>
      <c r="I284" s="14"/>
      <c r="J284" s="15">
        <f t="shared" si="17"/>
        <v>0</v>
      </c>
      <c r="K284" s="12" t="s">
        <v>683</v>
      </c>
      <c r="L284" s="16" t="str">
        <f t="shared" si="18"/>
        <v>9786267683095</v>
      </c>
      <c r="M284" s="29" t="str">
        <f t="shared" si="19"/>
        <v>https://search.books.com.tw/search/query/key/9786267683095</v>
      </c>
      <c r="N284" s="12" t="s">
        <v>33</v>
      </c>
      <c r="O284" s="12"/>
      <c r="P284" s="12" t="s">
        <v>35</v>
      </c>
      <c r="Q284" s="17" t="s">
        <v>706</v>
      </c>
    </row>
    <row r="285" spans="1:17" ht="24.9" customHeight="1">
      <c r="A285" s="2"/>
      <c r="B285" s="11" t="s">
        <v>1543</v>
      </c>
      <c r="C285" s="9" t="s">
        <v>1544</v>
      </c>
      <c r="D285" s="12" t="s">
        <v>1545</v>
      </c>
      <c r="E285" s="13" t="s">
        <v>1546</v>
      </c>
      <c r="F285" s="13" t="s">
        <v>1523</v>
      </c>
      <c r="G285" s="14">
        <v>400</v>
      </c>
      <c r="H285" s="14">
        <f t="shared" si="16"/>
        <v>300</v>
      </c>
      <c r="I285" s="14"/>
      <c r="J285" s="15">
        <f t="shared" si="17"/>
        <v>0</v>
      </c>
      <c r="K285" s="12" t="s">
        <v>267</v>
      </c>
      <c r="L285" s="16" t="str">
        <f t="shared" si="18"/>
        <v>9786263792876</v>
      </c>
      <c r="M285" s="29" t="str">
        <f t="shared" si="19"/>
        <v>https://search.books.com.tw/search/query/key/9786263792876</v>
      </c>
      <c r="N285" s="12" t="s">
        <v>33</v>
      </c>
      <c r="O285" s="12"/>
      <c r="P285" s="12" t="s">
        <v>384</v>
      </c>
      <c r="Q285" s="17" t="s">
        <v>1547</v>
      </c>
    </row>
    <row r="286" spans="1:17" ht="24.9" customHeight="1">
      <c r="A286" s="2"/>
      <c r="B286" s="11" t="s">
        <v>1548</v>
      </c>
      <c r="C286" s="9" t="s">
        <v>1549</v>
      </c>
      <c r="D286" s="12" t="s">
        <v>1550</v>
      </c>
      <c r="E286" s="13" t="s">
        <v>1551</v>
      </c>
      <c r="F286" s="13" t="s">
        <v>1552</v>
      </c>
      <c r="G286" s="14">
        <v>380</v>
      </c>
      <c r="H286" s="14">
        <f t="shared" si="16"/>
        <v>285</v>
      </c>
      <c r="I286" s="14"/>
      <c r="J286" s="15">
        <f t="shared" si="17"/>
        <v>0</v>
      </c>
      <c r="K286" s="12" t="s">
        <v>1553</v>
      </c>
      <c r="L286" s="16" t="str">
        <f t="shared" si="18"/>
        <v>9789863714897</v>
      </c>
      <c r="M286" s="29" t="str">
        <f t="shared" si="19"/>
        <v>https://search.books.com.tw/search/query/key/9789863714897</v>
      </c>
      <c r="N286" s="12" t="s">
        <v>33</v>
      </c>
      <c r="O286" s="12"/>
      <c r="P286" s="12" t="s">
        <v>25</v>
      </c>
      <c r="Q286" s="17" t="s">
        <v>1554</v>
      </c>
    </row>
    <row r="287" spans="1:17" ht="24.9" customHeight="1">
      <c r="A287" s="2"/>
      <c r="B287" s="11" t="s">
        <v>1555</v>
      </c>
      <c r="C287" s="9" t="s">
        <v>1556</v>
      </c>
      <c r="D287" s="12" t="s">
        <v>1282</v>
      </c>
      <c r="E287" s="13" t="s">
        <v>1557</v>
      </c>
      <c r="F287" s="13" t="s">
        <v>1558</v>
      </c>
      <c r="G287" s="14">
        <v>280</v>
      </c>
      <c r="H287" s="14">
        <f t="shared" si="16"/>
        <v>210</v>
      </c>
      <c r="I287" s="14"/>
      <c r="J287" s="15">
        <f t="shared" si="17"/>
        <v>0</v>
      </c>
      <c r="K287" s="12" t="s">
        <v>22</v>
      </c>
      <c r="L287" s="16" t="str">
        <f t="shared" si="18"/>
        <v>9789862111024</v>
      </c>
      <c r="M287" s="29" t="str">
        <f t="shared" si="19"/>
        <v>https://search.books.com.tw/search/query/key/9789862111024</v>
      </c>
      <c r="N287" s="12" t="s">
        <v>43</v>
      </c>
      <c r="O287" s="12"/>
      <c r="P287" s="12" t="s">
        <v>45</v>
      </c>
      <c r="Q287" s="17" t="s">
        <v>1559</v>
      </c>
    </row>
    <row r="288" spans="1:17" ht="24.9" customHeight="1">
      <c r="A288" s="2"/>
      <c r="B288" s="11" t="s">
        <v>1560</v>
      </c>
      <c r="C288" s="9" t="s">
        <v>1561</v>
      </c>
      <c r="D288" s="12" t="s">
        <v>1562</v>
      </c>
      <c r="E288" s="13" t="s">
        <v>1563</v>
      </c>
      <c r="F288" s="13" t="s">
        <v>1564</v>
      </c>
      <c r="G288" s="14">
        <v>420</v>
      </c>
      <c r="H288" s="14">
        <f t="shared" si="16"/>
        <v>315</v>
      </c>
      <c r="I288" s="14"/>
      <c r="J288" s="15">
        <f t="shared" si="17"/>
        <v>0</v>
      </c>
      <c r="K288" s="12" t="s">
        <v>63</v>
      </c>
      <c r="L288" s="16" t="str">
        <f t="shared" si="18"/>
        <v>9789865083854</v>
      </c>
      <c r="M288" s="29" t="str">
        <f t="shared" si="19"/>
        <v>https://search.books.com.tw/search/query/key/9789865083854</v>
      </c>
      <c r="N288" s="12" t="s">
        <v>33</v>
      </c>
      <c r="O288" s="12"/>
      <c r="P288" s="12" t="s">
        <v>384</v>
      </c>
      <c r="Q288" s="17" t="s">
        <v>1565</v>
      </c>
    </row>
    <row r="289" spans="1:17" ht="24.9" customHeight="1">
      <c r="A289" s="2"/>
      <c r="B289" s="11" t="s">
        <v>1566</v>
      </c>
      <c r="C289" s="9" t="s">
        <v>1567</v>
      </c>
      <c r="D289" s="12" t="s">
        <v>1568</v>
      </c>
      <c r="E289" s="13" t="s">
        <v>1569</v>
      </c>
      <c r="F289" s="13" t="s">
        <v>1570</v>
      </c>
      <c r="G289" s="14">
        <v>360</v>
      </c>
      <c r="H289" s="14">
        <f t="shared" si="16"/>
        <v>270</v>
      </c>
      <c r="I289" s="14"/>
      <c r="J289" s="15">
        <f t="shared" si="17"/>
        <v>0</v>
      </c>
      <c r="K289" s="12" t="s">
        <v>1165</v>
      </c>
      <c r="L289" s="16" t="str">
        <f t="shared" si="18"/>
        <v>9786263980129</v>
      </c>
      <c r="M289" s="29" t="str">
        <f t="shared" si="19"/>
        <v>https://search.books.com.tw/search/query/key/9786263980129</v>
      </c>
      <c r="N289" s="12" t="s">
        <v>33</v>
      </c>
      <c r="O289" s="12"/>
      <c r="P289" s="12" t="s">
        <v>393</v>
      </c>
      <c r="Q289" s="17" t="s">
        <v>394</v>
      </c>
    </row>
    <row r="290" spans="1:17" ht="24.9" customHeight="1">
      <c r="A290" s="2"/>
      <c r="B290" s="11" t="s">
        <v>1571</v>
      </c>
      <c r="C290" s="9" t="s">
        <v>1572</v>
      </c>
      <c r="D290" s="12" t="s">
        <v>1573</v>
      </c>
      <c r="E290" s="13" t="s">
        <v>1574</v>
      </c>
      <c r="F290" s="13" t="s">
        <v>1575</v>
      </c>
      <c r="G290" s="14">
        <v>380</v>
      </c>
      <c r="H290" s="14">
        <f t="shared" si="16"/>
        <v>285</v>
      </c>
      <c r="I290" s="14"/>
      <c r="J290" s="15">
        <f t="shared" si="17"/>
        <v>0</v>
      </c>
      <c r="K290" s="12" t="s">
        <v>1576</v>
      </c>
      <c r="L290" s="16" t="str">
        <f t="shared" si="18"/>
        <v>9789869814805</v>
      </c>
      <c r="M290" s="29" t="str">
        <f t="shared" si="19"/>
        <v>https://search.books.com.tw/search/query/key/9789869814805</v>
      </c>
      <c r="N290" s="12" t="s">
        <v>43</v>
      </c>
      <c r="O290" s="12"/>
      <c r="P290" s="12" t="s">
        <v>45</v>
      </c>
      <c r="Q290" s="17" t="s">
        <v>46</v>
      </c>
    </row>
    <row r="291" spans="1:17" ht="24.9" customHeight="1">
      <c r="A291" s="2"/>
      <c r="B291" s="11" t="s">
        <v>1577</v>
      </c>
      <c r="C291" s="9" t="s">
        <v>1578</v>
      </c>
      <c r="D291" s="12" t="s">
        <v>1579</v>
      </c>
      <c r="E291" s="13" t="s">
        <v>1580</v>
      </c>
      <c r="F291" s="13" t="s">
        <v>1504</v>
      </c>
      <c r="G291" s="14">
        <v>380</v>
      </c>
      <c r="H291" s="14">
        <f t="shared" si="16"/>
        <v>285</v>
      </c>
      <c r="I291" s="14"/>
      <c r="J291" s="15">
        <f t="shared" si="17"/>
        <v>0</v>
      </c>
      <c r="K291" s="12" t="s">
        <v>22</v>
      </c>
      <c r="L291" s="16" t="str">
        <f t="shared" si="18"/>
        <v>9786267467244</v>
      </c>
      <c r="M291" s="29" t="str">
        <f t="shared" si="19"/>
        <v>https://search.books.com.tw/search/query/key/9786267467244</v>
      </c>
      <c r="N291" s="12" t="s">
        <v>597</v>
      </c>
      <c r="O291" s="12"/>
      <c r="P291" s="12" t="s">
        <v>45</v>
      </c>
      <c r="Q291" s="17" t="s">
        <v>523</v>
      </c>
    </row>
    <row r="292" spans="1:17" ht="24.9" customHeight="1">
      <c r="A292" s="2"/>
      <c r="B292" s="11" t="s">
        <v>1581</v>
      </c>
      <c r="C292" s="9" t="s">
        <v>1582</v>
      </c>
      <c r="D292" s="12" t="s">
        <v>1583</v>
      </c>
      <c r="E292" s="13" t="s">
        <v>1584</v>
      </c>
      <c r="F292" s="13" t="s">
        <v>845</v>
      </c>
      <c r="G292" s="14">
        <v>320</v>
      </c>
      <c r="H292" s="14">
        <f t="shared" si="16"/>
        <v>240</v>
      </c>
      <c r="I292" s="14"/>
      <c r="J292" s="15">
        <f t="shared" si="17"/>
        <v>0</v>
      </c>
      <c r="K292" s="12" t="s">
        <v>22</v>
      </c>
      <c r="L292" s="16" t="str">
        <f t="shared" si="18"/>
        <v>9789865513412</v>
      </c>
      <c r="M292" s="29" t="str">
        <f t="shared" si="19"/>
        <v>https://search.books.com.tw/search/query/key/9789865513412</v>
      </c>
      <c r="N292" s="12" t="s">
        <v>43</v>
      </c>
      <c r="O292" s="12"/>
      <c r="P292" s="12" t="s">
        <v>45</v>
      </c>
      <c r="Q292" s="17" t="s">
        <v>1585</v>
      </c>
    </row>
    <row r="293" spans="1:17" ht="24.9" customHeight="1">
      <c r="A293" s="2"/>
      <c r="B293" s="11" t="s">
        <v>1586</v>
      </c>
      <c r="C293" s="9" t="s">
        <v>1587</v>
      </c>
      <c r="D293" s="12" t="s">
        <v>1588</v>
      </c>
      <c r="E293" s="13" t="s">
        <v>1589</v>
      </c>
      <c r="F293" s="13" t="s">
        <v>1590</v>
      </c>
      <c r="G293" s="14">
        <v>320</v>
      </c>
      <c r="H293" s="14">
        <f t="shared" si="16"/>
        <v>240</v>
      </c>
      <c r="I293" s="14"/>
      <c r="J293" s="15">
        <f t="shared" si="17"/>
        <v>0</v>
      </c>
      <c r="K293" s="12" t="s">
        <v>165</v>
      </c>
      <c r="L293" s="16" t="str">
        <f t="shared" si="18"/>
        <v>9789861617237</v>
      </c>
      <c r="M293" s="29" t="str">
        <f t="shared" si="19"/>
        <v>https://search.books.com.tw/search/query/key/9789861617237</v>
      </c>
      <c r="N293" s="12" t="s">
        <v>343</v>
      </c>
      <c r="O293" s="12"/>
      <c r="P293" s="12" t="s">
        <v>45</v>
      </c>
      <c r="Q293" s="17" t="s">
        <v>677</v>
      </c>
    </row>
    <row r="294" spans="1:17" ht="24.9" customHeight="1">
      <c r="A294" s="2"/>
      <c r="B294" s="11" t="s">
        <v>1591</v>
      </c>
      <c r="C294" s="9" t="s">
        <v>1592</v>
      </c>
      <c r="D294" s="12" t="s">
        <v>1593</v>
      </c>
      <c r="E294" s="13" t="s">
        <v>1594</v>
      </c>
      <c r="F294" s="13" t="s">
        <v>1595</v>
      </c>
      <c r="G294" s="14">
        <v>290</v>
      </c>
      <c r="H294" s="14">
        <f t="shared" si="16"/>
        <v>218</v>
      </c>
      <c r="I294" s="14"/>
      <c r="J294" s="15">
        <f t="shared" si="17"/>
        <v>0</v>
      </c>
      <c r="K294" s="12" t="s">
        <v>22</v>
      </c>
      <c r="L294" s="16" t="str">
        <f t="shared" si="18"/>
        <v>9789862119693</v>
      </c>
      <c r="M294" s="29" t="str">
        <f t="shared" si="19"/>
        <v>https://search.books.com.tw/search/query/key/9789862119693</v>
      </c>
      <c r="N294" s="12" t="s">
        <v>43</v>
      </c>
      <c r="O294" s="12"/>
      <c r="P294" s="12" t="s">
        <v>45</v>
      </c>
      <c r="Q294" s="17" t="s">
        <v>46</v>
      </c>
    </row>
    <row r="295" spans="1:17" ht="24.9" customHeight="1">
      <c r="A295" s="2"/>
      <c r="B295" s="11" t="s">
        <v>1596</v>
      </c>
      <c r="C295" s="9" t="s">
        <v>1597</v>
      </c>
      <c r="D295" s="12" t="s">
        <v>1598</v>
      </c>
      <c r="E295" s="13" t="s">
        <v>1599</v>
      </c>
      <c r="F295" s="13" t="s">
        <v>1600</v>
      </c>
      <c r="G295" s="14">
        <v>390</v>
      </c>
      <c r="H295" s="14">
        <f t="shared" si="16"/>
        <v>293</v>
      </c>
      <c r="I295" s="14"/>
      <c r="J295" s="15">
        <f t="shared" si="17"/>
        <v>0</v>
      </c>
      <c r="K295" s="12" t="s">
        <v>355</v>
      </c>
      <c r="L295" s="16" t="str">
        <f t="shared" si="18"/>
        <v>9786263107410</v>
      </c>
      <c r="M295" s="29" t="str">
        <f t="shared" si="19"/>
        <v>https://search.books.com.tw/search/query/key/9786263107410</v>
      </c>
      <c r="N295" s="12" t="s">
        <v>33</v>
      </c>
      <c r="O295" s="12"/>
      <c r="P295" s="12" t="s">
        <v>35</v>
      </c>
      <c r="Q295" s="17" t="s">
        <v>198</v>
      </c>
    </row>
    <row r="296" spans="1:17" ht="24.9" customHeight="1">
      <c r="A296" s="2"/>
      <c r="B296" s="11" t="s">
        <v>1601</v>
      </c>
      <c r="C296" s="9" t="s">
        <v>1602</v>
      </c>
      <c r="D296" s="12" t="s">
        <v>1459</v>
      </c>
      <c r="E296" s="13" t="s">
        <v>1603</v>
      </c>
      <c r="F296" s="13" t="s">
        <v>1604</v>
      </c>
      <c r="G296" s="14">
        <v>600</v>
      </c>
      <c r="H296" s="14">
        <f t="shared" si="16"/>
        <v>450</v>
      </c>
      <c r="I296" s="14"/>
      <c r="J296" s="15">
        <f t="shared" si="17"/>
        <v>0</v>
      </c>
      <c r="K296" s="12" t="s">
        <v>349</v>
      </c>
      <c r="L296" s="16" t="str">
        <f t="shared" si="18"/>
        <v>9786267267660</v>
      </c>
      <c r="M296" s="29" t="str">
        <f t="shared" si="19"/>
        <v>https://search.books.com.tw/search/query/key/9786267267660</v>
      </c>
      <c r="N296" s="12" t="s">
        <v>33</v>
      </c>
      <c r="O296" s="12"/>
      <c r="P296" s="12" t="s">
        <v>35</v>
      </c>
      <c r="Q296" s="17" t="s">
        <v>706</v>
      </c>
    </row>
    <row r="297" spans="1:17" ht="24.9" customHeight="1">
      <c r="A297" s="2"/>
      <c r="B297" s="11" t="s">
        <v>1605</v>
      </c>
      <c r="C297" s="9" t="s">
        <v>1606</v>
      </c>
      <c r="D297" s="12" t="s">
        <v>1607</v>
      </c>
      <c r="E297" s="13" t="s">
        <v>1608</v>
      </c>
      <c r="F297" s="13" t="s">
        <v>1609</v>
      </c>
      <c r="G297" s="14">
        <v>390</v>
      </c>
      <c r="H297" s="14">
        <f t="shared" si="16"/>
        <v>293</v>
      </c>
      <c r="I297" s="14"/>
      <c r="J297" s="15">
        <f t="shared" si="17"/>
        <v>0</v>
      </c>
      <c r="K297" s="12" t="s">
        <v>42</v>
      </c>
      <c r="L297" s="16" t="str">
        <f t="shared" si="18"/>
        <v>9789570876383</v>
      </c>
      <c r="M297" s="29" t="str">
        <f t="shared" si="19"/>
        <v>https://search.books.com.tw/search/query/key/9789570876383</v>
      </c>
      <c r="N297" s="12" t="s">
        <v>597</v>
      </c>
      <c r="O297" s="12"/>
      <c r="P297" s="12" t="s">
        <v>45</v>
      </c>
      <c r="Q297" s="17" t="s">
        <v>210</v>
      </c>
    </row>
    <row r="298" spans="1:17" ht="24.9" customHeight="1">
      <c r="A298" s="2"/>
      <c r="B298" s="11" t="s">
        <v>1610</v>
      </c>
      <c r="C298" s="9" t="s">
        <v>1611</v>
      </c>
      <c r="D298" s="12" t="s">
        <v>1612</v>
      </c>
      <c r="E298" s="13" t="s">
        <v>1613</v>
      </c>
      <c r="F298" s="13" t="s">
        <v>1614</v>
      </c>
      <c r="G298" s="14">
        <v>350</v>
      </c>
      <c r="H298" s="14">
        <f t="shared" si="16"/>
        <v>263</v>
      </c>
      <c r="I298" s="14"/>
      <c r="J298" s="15">
        <f t="shared" si="17"/>
        <v>0</v>
      </c>
      <c r="K298" s="12" t="s">
        <v>1327</v>
      </c>
      <c r="L298" s="16" t="str">
        <f t="shared" si="18"/>
        <v>9789864275144</v>
      </c>
      <c r="M298" s="29" t="str">
        <f t="shared" si="19"/>
        <v>https://search.books.com.tw/search/query/key/9789864275144</v>
      </c>
      <c r="N298" s="12" t="s">
        <v>343</v>
      </c>
      <c r="O298" s="12"/>
      <c r="P298" s="12" t="s">
        <v>45</v>
      </c>
      <c r="Q298" s="17" t="s">
        <v>1615</v>
      </c>
    </row>
    <row r="299" spans="1:17" ht="24.9" customHeight="1">
      <c r="A299" s="2"/>
      <c r="B299" s="11" t="s">
        <v>1616</v>
      </c>
      <c r="C299" s="9" t="s">
        <v>1617</v>
      </c>
      <c r="D299" s="12" t="s">
        <v>1618</v>
      </c>
      <c r="E299" s="13" t="s">
        <v>1619</v>
      </c>
      <c r="F299" s="13" t="s">
        <v>1620</v>
      </c>
      <c r="G299" s="14">
        <v>350</v>
      </c>
      <c r="H299" s="14">
        <f t="shared" si="16"/>
        <v>263</v>
      </c>
      <c r="I299" s="14"/>
      <c r="J299" s="15">
        <f t="shared" si="17"/>
        <v>0</v>
      </c>
      <c r="K299" s="12" t="s">
        <v>567</v>
      </c>
      <c r="L299" s="16" t="str">
        <f t="shared" si="18"/>
        <v>9786263746121</v>
      </c>
      <c r="M299" s="29" t="str">
        <f t="shared" si="19"/>
        <v>https://search.books.com.tw/search/query/key/9786263746121</v>
      </c>
      <c r="N299" s="12" t="s">
        <v>597</v>
      </c>
      <c r="O299" s="12"/>
      <c r="P299" s="12" t="s">
        <v>35</v>
      </c>
      <c r="Q299" s="17" t="s">
        <v>198</v>
      </c>
    </row>
    <row r="300" spans="1:17" ht="24.9" customHeight="1">
      <c r="A300" s="2"/>
      <c r="B300" s="11" t="s">
        <v>1621</v>
      </c>
      <c r="C300" s="9" t="s">
        <v>1622</v>
      </c>
      <c r="D300" s="12" t="s">
        <v>1618</v>
      </c>
      <c r="E300" s="13" t="s">
        <v>1623</v>
      </c>
      <c r="F300" s="13" t="s">
        <v>1620</v>
      </c>
      <c r="G300" s="14">
        <v>350</v>
      </c>
      <c r="H300" s="14">
        <f t="shared" si="16"/>
        <v>263</v>
      </c>
      <c r="I300" s="14"/>
      <c r="J300" s="15">
        <f t="shared" si="17"/>
        <v>0</v>
      </c>
      <c r="K300" s="12" t="s">
        <v>567</v>
      </c>
      <c r="L300" s="16" t="str">
        <f t="shared" si="18"/>
        <v>9786263746114</v>
      </c>
      <c r="M300" s="29" t="str">
        <f t="shared" si="19"/>
        <v>https://search.books.com.tw/search/query/key/9786263746114</v>
      </c>
      <c r="N300" s="12" t="s">
        <v>597</v>
      </c>
      <c r="O300" s="12"/>
      <c r="P300" s="12" t="s">
        <v>35</v>
      </c>
      <c r="Q300" s="17" t="s">
        <v>198</v>
      </c>
    </row>
    <row r="301" spans="1:17" ht="24.9" customHeight="1">
      <c r="A301" s="2"/>
      <c r="B301" s="11" t="s">
        <v>1624</v>
      </c>
      <c r="C301" s="9" t="s">
        <v>1625</v>
      </c>
      <c r="D301" s="12" t="s">
        <v>1618</v>
      </c>
      <c r="E301" s="13" t="s">
        <v>1626</v>
      </c>
      <c r="F301" s="13" t="s">
        <v>1620</v>
      </c>
      <c r="G301" s="14">
        <v>350</v>
      </c>
      <c r="H301" s="14">
        <f t="shared" si="16"/>
        <v>263</v>
      </c>
      <c r="I301" s="14"/>
      <c r="J301" s="15">
        <f t="shared" si="17"/>
        <v>0</v>
      </c>
      <c r="K301" s="12" t="s">
        <v>567</v>
      </c>
      <c r="L301" s="16" t="str">
        <f t="shared" si="18"/>
        <v>9786263746138</v>
      </c>
      <c r="M301" s="29" t="str">
        <f t="shared" si="19"/>
        <v>https://search.books.com.tw/search/query/key/9786263746138</v>
      </c>
      <c r="N301" s="12" t="s">
        <v>597</v>
      </c>
      <c r="O301" s="12"/>
      <c r="P301" s="12" t="s">
        <v>35</v>
      </c>
      <c r="Q301" s="17" t="s">
        <v>198</v>
      </c>
    </row>
    <row r="302" spans="1:17" ht="24.9" customHeight="1">
      <c r="A302" s="2"/>
      <c r="B302" s="11" t="s">
        <v>1627</v>
      </c>
      <c r="C302" s="9" t="s">
        <v>1628</v>
      </c>
      <c r="D302" s="12" t="s">
        <v>1629</v>
      </c>
      <c r="E302" s="13" t="s">
        <v>1630</v>
      </c>
      <c r="F302" s="13" t="s">
        <v>1631</v>
      </c>
      <c r="G302" s="14">
        <v>350</v>
      </c>
      <c r="H302" s="14">
        <f t="shared" si="16"/>
        <v>263</v>
      </c>
      <c r="I302" s="14"/>
      <c r="J302" s="15">
        <f t="shared" si="17"/>
        <v>0</v>
      </c>
      <c r="K302" s="12" t="s">
        <v>1069</v>
      </c>
      <c r="L302" s="16" t="str">
        <f t="shared" si="18"/>
        <v>9786267275535</v>
      </c>
      <c r="M302" s="29" t="str">
        <f t="shared" si="19"/>
        <v>https://search.books.com.tw/search/query/key/9786267275535</v>
      </c>
      <c r="N302" s="12" t="s">
        <v>597</v>
      </c>
      <c r="O302" s="12"/>
      <c r="P302" s="12" t="s">
        <v>45</v>
      </c>
      <c r="Q302" s="17" t="s">
        <v>159</v>
      </c>
    </row>
    <row r="303" spans="1:17" ht="24.9" customHeight="1">
      <c r="A303" s="2"/>
      <c r="B303" s="11" t="s">
        <v>1632</v>
      </c>
      <c r="C303" s="9" t="s">
        <v>1633</v>
      </c>
      <c r="D303" s="12" t="s">
        <v>1634</v>
      </c>
      <c r="E303" s="13" t="s">
        <v>1635</v>
      </c>
      <c r="F303" s="13" t="s">
        <v>1636</v>
      </c>
      <c r="G303" s="14">
        <v>300</v>
      </c>
      <c r="H303" s="14">
        <f t="shared" si="16"/>
        <v>225</v>
      </c>
      <c r="I303" s="14"/>
      <c r="J303" s="15">
        <f t="shared" si="17"/>
        <v>0</v>
      </c>
      <c r="K303" s="12" t="s">
        <v>22</v>
      </c>
      <c r="L303" s="16" t="str">
        <f t="shared" si="18"/>
        <v>9789865566531</v>
      </c>
      <c r="M303" s="29" t="str">
        <f t="shared" si="19"/>
        <v>https://search.books.com.tw/search/query/key/9789865566531</v>
      </c>
      <c r="N303" s="12" t="s">
        <v>522</v>
      </c>
      <c r="O303" s="12"/>
      <c r="P303" s="12" t="s">
        <v>45</v>
      </c>
      <c r="Q303" s="17" t="s">
        <v>713</v>
      </c>
    </row>
    <row r="304" spans="1:17" ht="24.9" customHeight="1">
      <c r="A304" s="2"/>
      <c r="B304" s="11" t="s">
        <v>1637</v>
      </c>
      <c r="C304" s="9" t="s">
        <v>1638</v>
      </c>
      <c r="D304" s="12" t="s">
        <v>1639</v>
      </c>
      <c r="E304" s="13" t="s">
        <v>1640</v>
      </c>
      <c r="F304" s="13" t="s">
        <v>1641</v>
      </c>
      <c r="G304" s="14">
        <v>360</v>
      </c>
      <c r="H304" s="14">
        <f t="shared" si="16"/>
        <v>270</v>
      </c>
      <c r="I304" s="14"/>
      <c r="J304" s="15">
        <f t="shared" si="17"/>
        <v>0</v>
      </c>
      <c r="K304" s="12" t="s">
        <v>474</v>
      </c>
      <c r="L304" s="16" t="str">
        <f t="shared" si="18"/>
        <v>9786267207734</v>
      </c>
      <c r="M304" s="29" t="str">
        <f t="shared" si="19"/>
        <v>https://search.books.com.tw/search/query/key/9786267207734</v>
      </c>
      <c r="N304" s="12" t="s">
        <v>33</v>
      </c>
      <c r="O304" s="12"/>
      <c r="P304" s="12" t="s">
        <v>35</v>
      </c>
      <c r="Q304" s="17" t="s">
        <v>706</v>
      </c>
    </row>
    <row r="305" spans="1:17" ht="24.9" customHeight="1">
      <c r="A305" s="2"/>
      <c r="B305" s="11" t="s">
        <v>1642</v>
      </c>
      <c r="C305" s="9" t="s">
        <v>1643</v>
      </c>
      <c r="D305" s="12" t="s">
        <v>1644</v>
      </c>
      <c r="E305" s="13" t="s">
        <v>1645</v>
      </c>
      <c r="F305" s="13" t="s">
        <v>1646</v>
      </c>
      <c r="G305" s="14">
        <v>390</v>
      </c>
      <c r="H305" s="14">
        <f t="shared" si="16"/>
        <v>293</v>
      </c>
      <c r="I305" s="14"/>
      <c r="J305" s="15">
        <f t="shared" si="17"/>
        <v>0</v>
      </c>
      <c r="K305" s="12" t="s">
        <v>80</v>
      </c>
      <c r="L305" s="16" t="str">
        <f t="shared" si="18"/>
        <v>9789862944530</v>
      </c>
      <c r="M305" s="29" t="str">
        <f t="shared" si="19"/>
        <v>https://search.books.com.tw/search/query/key/9789862944530</v>
      </c>
      <c r="N305" s="12" t="s">
        <v>522</v>
      </c>
      <c r="O305" s="12"/>
      <c r="P305" s="12" t="s">
        <v>45</v>
      </c>
      <c r="Q305" s="17" t="s">
        <v>713</v>
      </c>
    </row>
    <row r="306" spans="1:17" ht="24.9" customHeight="1">
      <c r="A306" s="2"/>
      <c r="B306" s="11" t="s">
        <v>1647</v>
      </c>
      <c r="C306" s="9" t="s">
        <v>1648</v>
      </c>
      <c r="D306" s="12" t="s">
        <v>1649</v>
      </c>
      <c r="E306" s="13" t="s">
        <v>1650</v>
      </c>
      <c r="F306" s="13" t="s">
        <v>1651</v>
      </c>
      <c r="G306" s="14">
        <v>499</v>
      </c>
      <c r="H306" s="14">
        <f t="shared" si="16"/>
        <v>374</v>
      </c>
      <c r="I306" s="14"/>
      <c r="J306" s="15">
        <f t="shared" si="17"/>
        <v>0</v>
      </c>
      <c r="K306" s="12" t="s">
        <v>1652</v>
      </c>
      <c r="L306" s="16" t="str">
        <f t="shared" si="18"/>
        <v>9786267680872</v>
      </c>
      <c r="M306" s="29" t="str">
        <f t="shared" si="19"/>
        <v>https://search.books.com.tw/search/query/key/9786267680872</v>
      </c>
      <c r="N306" s="12" t="s">
        <v>33</v>
      </c>
      <c r="O306" s="12"/>
      <c r="P306" s="12" t="s">
        <v>35</v>
      </c>
      <c r="Q306" s="17" t="s">
        <v>706</v>
      </c>
    </row>
    <row r="307" spans="1:17" ht="24.9" customHeight="1">
      <c r="A307" s="2"/>
      <c r="B307" s="11" t="s">
        <v>1653</v>
      </c>
      <c r="C307" s="9" t="s">
        <v>1654</v>
      </c>
      <c r="D307" s="12" t="s">
        <v>1655</v>
      </c>
      <c r="E307" s="13" t="s">
        <v>1656</v>
      </c>
      <c r="F307" s="13" t="s">
        <v>1657</v>
      </c>
      <c r="G307" s="14">
        <v>400</v>
      </c>
      <c r="H307" s="14">
        <f t="shared" si="16"/>
        <v>300</v>
      </c>
      <c r="I307" s="14"/>
      <c r="J307" s="15">
        <f t="shared" si="17"/>
        <v>0</v>
      </c>
      <c r="K307" s="12" t="s">
        <v>832</v>
      </c>
      <c r="L307" s="16" t="str">
        <f t="shared" si="18"/>
        <v>9786263141650</v>
      </c>
      <c r="M307" s="29" t="str">
        <f t="shared" si="19"/>
        <v>https://search.books.com.tw/search/query/key/9786263141650</v>
      </c>
      <c r="N307" s="12" t="s">
        <v>33</v>
      </c>
      <c r="O307" s="12"/>
      <c r="P307" s="12" t="s">
        <v>45</v>
      </c>
      <c r="Q307" s="17" t="s">
        <v>283</v>
      </c>
    </row>
    <row r="308" spans="1:17" ht="24.9" customHeight="1">
      <c r="A308" s="2"/>
      <c r="B308" s="11" t="s">
        <v>1658</v>
      </c>
      <c r="C308" s="9" t="s">
        <v>1659</v>
      </c>
      <c r="D308" s="12" t="s">
        <v>1660</v>
      </c>
      <c r="E308" s="13" t="s">
        <v>1661</v>
      </c>
      <c r="F308" s="13" t="s">
        <v>1662</v>
      </c>
      <c r="G308" s="14">
        <v>460</v>
      </c>
      <c r="H308" s="14">
        <f t="shared" si="16"/>
        <v>345</v>
      </c>
      <c r="I308" s="14"/>
      <c r="J308" s="15">
        <f t="shared" si="17"/>
        <v>0</v>
      </c>
      <c r="K308" s="12" t="s">
        <v>400</v>
      </c>
      <c r="L308" s="16" t="str">
        <f t="shared" si="18"/>
        <v>4714426209126</v>
      </c>
      <c r="M308" s="29" t="str">
        <f t="shared" si="19"/>
        <v>https://search.books.com.tw/search/query/key/4714426209126</v>
      </c>
      <c r="N308" s="12" t="s">
        <v>1029</v>
      </c>
      <c r="O308" s="12"/>
      <c r="P308" s="12" t="s">
        <v>384</v>
      </c>
      <c r="Q308" s="17" t="s">
        <v>1663</v>
      </c>
    </row>
    <row r="309" spans="1:17" ht="24.9" customHeight="1">
      <c r="A309" s="2"/>
      <c r="B309" s="11" t="s">
        <v>1664</v>
      </c>
      <c r="C309" s="9" t="s">
        <v>1665</v>
      </c>
      <c r="D309" s="12" t="s">
        <v>1666</v>
      </c>
      <c r="E309" s="13" t="s">
        <v>1667</v>
      </c>
      <c r="F309" s="13" t="s">
        <v>1668</v>
      </c>
      <c r="G309" s="14">
        <v>580</v>
      </c>
      <c r="H309" s="14">
        <f t="shared" si="16"/>
        <v>435</v>
      </c>
      <c r="I309" s="14"/>
      <c r="J309" s="15">
        <f t="shared" si="17"/>
        <v>0</v>
      </c>
      <c r="K309" s="12" t="s">
        <v>567</v>
      </c>
      <c r="L309" s="16" t="str">
        <f t="shared" si="18"/>
        <v>9786263961364</v>
      </c>
      <c r="M309" s="29" t="str">
        <f t="shared" si="19"/>
        <v>https://search.books.com.tw/search/query/key/9786263961364</v>
      </c>
      <c r="N309" s="12" t="s">
        <v>33</v>
      </c>
      <c r="O309" s="12"/>
      <c r="P309" s="12" t="s">
        <v>45</v>
      </c>
      <c r="Q309" s="17" t="s">
        <v>1154</v>
      </c>
    </row>
    <row r="310" spans="1:17" ht="24.9" customHeight="1">
      <c r="A310" s="2"/>
      <c r="B310" s="11" t="s">
        <v>1669</v>
      </c>
      <c r="C310" s="9" t="s">
        <v>1670</v>
      </c>
      <c r="D310" s="12" t="s">
        <v>1671</v>
      </c>
      <c r="E310" s="13" t="s">
        <v>1672</v>
      </c>
      <c r="F310" s="13" t="s">
        <v>1673</v>
      </c>
      <c r="G310" s="14">
        <v>1050</v>
      </c>
      <c r="H310" s="14">
        <f t="shared" si="16"/>
        <v>788</v>
      </c>
      <c r="I310" s="14"/>
      <c r="J310" s="15">
        <f t="shared" si="17"/>
        <v>0</v>
      </c>
      <c r="K310" s="12" t="s">
        <v>1674</v>
      </c>
      <c r="L310" s="16" t="str">
        <f t="shared" si="18"/>
        <v>8667106523349</v>
      </c>
      <c r="M310" s="29" t="str">
        <f t="shared" si="19"/>
        <v>https://search.books.com.tw/search/query/key/8667106523349</v>
      </c>
      <c r="N310" s="12" t="s">
        <v>33</v>
      </c>
      <c r="O310" s="12"/>
      <c r="P310" s="12" t="s">
        <v>35</v>
      </c>
      <c r="Q310" s="17" t="s">
        <v>198</v>
      </c>
    </row>
    <row r="311" spans="1:17" ht="24.9" customHeight="1">
      <c r="A311" s="2"/>
      <c r="B311" s="11" t="s">
        <v>1675</v>
      </c>
      <c r="C311" s="9" t="s">
        <v>1676</v>
      </c>
      <c r="D311" s="12" t="s">
        <v>1677</v>
      </c>
      <c r="E311" s="13" t="s">
        <v>1678</v>
      </c>
      <c r="F311" s="13" t="s">
        <v>1679</v>
      </c>
      <c r="G311" s="14">
        <v>450</v>
      </c>
      <c r="H311" s="14">
        <f t="shared" si="16"/>
        <v>338</v>
      </c>
      <c r="I311" s="14"/>
      <c r="J311" s="15">
        <f t="shared" si="17"/>
        <v>0</v>
      </c>
      <c r="K311" s="12" t="s">
        <v>596</v>
      </c>
      <c r="L311" s="16" t="str">
        <f t="shared" si="18"/>
        <v>9786267388389</v>
      </c>
      <c r="M311" s="29" t="str">
        <f t="shared" si="19"/>
        <v>https://search.books.com.tw/search/query/key/9786267388389</v>
      </c>
      <c r="N311" s="12" t="s">
        <v>33</v>
      </c>
      <c r="O311" s="12"/>
      <c r="P311" s="12" t="s">
        <v>535</v>
      </c>
      <c r="Q311" s="17" t="s">
        <v>1680</v>
      </c>
    </row>
    <row r="312" spans="1:17" ht="24.9" customHeight="1">
      <c r="A312" s="2"/>
      <c r="B312" s="11" t="s">
        <v>1681</v>
      </c>
      <c r="C312" s="9" t="s">
        <v>1682</v>
      </c>
      <c r="D312" s="12" t="s">
        <v>1683</v>
      </c>
      <c r="E312" s="13" t="s">
        <v>1684</v>
      </c>
      <c r="F312" s="13" t="s">
        <v>1685</v>
      </c>
      <c r="G312" s="14">
        <v>450</v>
      </c>
      <c r="H312" s="14">
        <f t="shared" si="16"/>
        <v>338</v>
      </c>
      <c r="I312" s="14"/>
      <c r="J312" s="15">
        <f t="shared" si="17"/>
        <v>0</v>
      </c>
      <c r="K312" s="12" t="s">
        <v>42</v>
      </c>
      <c r="L312" s="16" t="str">
        <f t="shared" si="18"/>
        <v>9789570878639</v>
      </c>
      <c r="M312" s="29" t="str">
        <f t="shared" si="19"/>
        <v>https://search.books.com.tw/search/query/key/9789570878639</v>
      </c>
      <c r="N312" s="12" t="s">
        <v>33</v>
      </c>
      <c r="O312" s="12"/>
      <c r="P312" s="12" t="s">
        <v>25</v>
      </c>
      <c r="Q312" s="17" t="s">
        <v>26</v>
      </c>
    </row>
    <row r="313" spans="1:17" ht="24.9" customHeight="1">
      <c r="A313" s="2"/>
      <c r="B313" s="11" t="s">
        <v>1686</v>
      </c>
      <c r="C313" s="9" t="s">
        <v>1687</v>
      </c>
      <c r="D313" s="12" t="s">
        <v>1688</v>
      </c>
      <c r="E313" s="13" t="s">
        <v>1689</v>
      </c>
      <c r="F313" s="13" t="s">
        <v>1690</v>
      </c>
      <c r="G313" s="14">
        <v>600</v>
      </c>
      <c r="H313" s="14">
        <f t="shared" si="16"/>
        <v>450</v>
      </c>
      <c r="I313" s="14"/>
      <c r="J313" s="15">
        <f t="shared" si="17"/>
        <v>0</v>
      </c>
      <c r="K313" s="12" t="s">
        <v>567</v>
      </c>
      <c r="L313" s="16" t="str">
        <f t="shared" si="18"/>
        <v>9786264440431</v>
      </c>
      <c r="M313" s="29" t="str">
        <f t="shared" si="19"/>
        <v>https://search.books.com.tw/search/query/key/9786264440431</v>
      </c>
      <c r="N313" s="12" t="s">
        <v>33</v>
      </c>
      <c r="O313" s="12"/>
      <c r="P313" s="12" t="s">
        <v>25</v>
      </c>
      <c r="Q313" s="17" t="s">
        <v>26</v>
      </c>
    </row>
    <row r="314" spans="1:17" ht="24.9" customHeight="1">
      <c r="A314" s="2"/>
      <c r="B314" s="11" t="s">
        <v>1691</v>
      </c>
      <c r="C314" s="9" t="s">
        <v>1692</v>
      </c>
      <c r="D314" s="12" t="s">
        <v>1693</v>
      </c>
      <c r="E314" s="13" t="s">
        <v>1694</v>
      </c>
      <c r="F314" s="13" t="s">
        <v>1695</v>
      </c>
      <c r="G314" s="14">
        <v>630</v>
      </c>
      <c r="H314" s="14">
        <f t="shared" si="16"/>
        <v>473</v>
      </c>
      <c r="I314" s="14"/>
      <c r="J314" s="15">
        <f t="shared" si="17"/>
        <v>0</v>
      </c>
      <c r="K314" s="12" t="s">
        <v>150</v>
      </c>
      <c r="L314" s="16" t="str">
        <f t="shared" si="18"/>
        <v>9789862627990</v>
      </c>
      <c r="M314" s="29" t="str">
        <f t="shared" si="19"/>
        <v>https://search.books.com.tw/search/query/key/9789862627990</v>
      </c>
      <c r="N314" s="12" t="s">
        <v>33</v>
      </c>
      <c r="O314" s="12"/>
      <c r="P314" s="12" t="s">
        <v>384</v>
      </c>
      <c r="Q314" s="17" t="s">
        <v>1696</v>
      </c>
    </row>
    <row r="315" spans="1:17" ht="24.9" customHeight="1">
      <c r="A315" s="2"/>
      <c r="B315" s="11" t="s">
        <v>1697</v>
      </c>
      <c r="C315" s="9" t="s">
        <v>1698</v>
      </c>
      <c r="D315" s="12" t="s">
        <v>1699</v>
      </c>
      <c r="E315" s="13" t="s">
        <v>1700</v>
      </c>
      <c r="F315" s="13" t="s">
        <v>1701</v>
      </c>
      <c r="G315" s="14">
        <v>419</v>
      </c>
      <c r="H315" s="14">
        <f t="shared" si="16"/>
        <v>314</v>
      </c>
      <c r="I315" s="14"/>
      <c r="J315" s="15">
        <f t="shared" si="17"/>
        <v>0</v>
      </c>
      <c r="K315" s="12" t="s">
        <v>1674</v>
      </c>
      <c r="L315" s="16" t="str">
        <f t="shared" si="18"/>
        <v>9786269985852</v>
      </c>
      <c r="M315" s="29" t="str">
        <f t="shared" si="19"/>
        <v>https://search.books.com.tw/search/query/key/9786269985852</v>
      </c>
      <c r="N315" s="12" t="s">
        <v>33</v>
      </c>
      <c r="O315" s="12"/>
      <c r="P315" s="12" t="s">
        <v>25</v>
      </c>
      <c r="Q315" s="17" t="s">
        <v>139</v>
      </c>
    </row>
    <row r="316" spans="1:17" ht="24.9" customHeight="1">
      <c r="A316" s="2"/>
      <c r="B316" s="11" t="s">
        <v>1702</v>
      </c>
      <c r="C316" s="9" t="s">
        <v>1703</v>
      </c>
      <c r="D316" s="12" t="s">
        <v>1704</v>
      </c>
      <c r="E316" s="13" t="s">
        <v>1705</v>
      </c>
      <c r="F316" s="13" t="s">
        <v>1706</v>
      </c>
      <c r="G316" s="14">
        <v>250</v>
      </c>
      <c r="H316" s="14">
        <f t="shared" si="16"/>
        <v>188</v>
      </c>
      <c r="I316" s="14"/>
      <c r="J316" s="15">
        <f t="shared" si="17"/>
        <v>0</v>
      </c>
      <c r="K316" s="12" t="s">
        <v>349</v>
      </c>
      <c r="L316" s="16" t="str">
        <f t="shared" si="18"/>
        <v>9786264200820</v>
      </c>
      <c r="M316" s="29" t="str">
        <f t="shared" si="19"/>
        <v>https://search.books.com.tw/search/query/key/9786264200820</v>
      </c>
      <c r="N316" s="12" t="s">
        <v>522</v>
      </c>
      <c r="O316" s="12"/>
      <c r="P316" s="12" t="s">
        <v>393</v>
      </c>
      <c r="Q316" s="17" t="s">
        <v>1707</v>
      </c>
    </row>
    <row r="317" spans="1:17" ht="24.9" customHeight="1">
      <c r="A317" s="2"/>
      <c r="B317" s="11" t="s">
        <v>1708</v>
      </c>
      <c r="C317" s="9" t="s">
        <v>1709</v>
      </c>
      <c r="D317" s="12" t="s">
        <v>1710</v>
      </c>
      <c r="E317" s="13" t="s">
        <v>1711</v>
      </c>
      <c r="F317" s="13" t="s">
        <v>1712</v>
      </c>
      <c r="G317" s="14">
        <v>380</v>
      </c>
      <c r="H317" s="14">
        <f t="shared" si="16"/>
        <v>285</v>
      </c>
      <c r="I317" s="14"/>
      <c r="J317" s="15">
        <f t="shared" si="17"/>
        <v>0</v>
      </c>
      <c r="K317" s="12" t="s">
        <v>1713</v>
      </c>
      <c r="L317" s="16" t="str">
        <f t="shared" si="18"/>
        <v>9786267352755</v>
      </c>
      <c r="M317" s="29" t="str">
        <f t="shared" si="19"/>
        <v>https://search.books.com.tw/search/query/key/9786267352755</v>
      </c>
      <c r="N317" s="12" t="s">
        <v>597</v>
      </c>
      <c r="O317" s="12"/>
      <c r="P317" s="12" t="s">
        <v>535</v>
      </c>
      <c r="Q317" s="17" t="s">
        <v>74</v>
      </c>
    </row>
    <row r="318" spans="1:17" ht="24.9" customHeight="1">
      <c r="A318" s="2"/>
      <c r="B318" s="11" t="s">
        <v>1714</v>
      </c>
      <c r="C318" s="9" t="s">
        <v>1715</v>
      </c>
      <c r="D318" s="12" t="s">
        <v>1716</v>
      </c>
      <c r="E318" s="13" t="s">
        <v>1717</v>
      </c>
      <c r="F318" s="13" t="s">
        <v>1467</v>
      </c>
      <c r="G318" s="14">
        <v>550</v>
      </c>
      <c r="H318" s="14">
        <f t="shared" si="16"/>
        <v>413</v>
      </c>
      <c r="I318" s="14"/>
      <c r="J318" s="15">
        <f t="shared" si="17"/>
        <v>0</v>
      </c>
      <c r="K318" s="12" t="s">
        <v>1718</v>
      </c>
      <c r="L318" s="16" t="str">
        <f t="shared" si="18"/>
        <v>9789864932269</v>
      </c>
      <c r="M318" s="29" t="str">
        <f t="shared" si="19"/>
        <v>https://search.books.com.tw/search/query/key/9789864932269</v>
      </c>
      <c r="N318" s="12" t="s">
        <v>33</v>
      </c>
      <c r="O318" s="12"/>
      <c r="P318" s="12" t="s">
        <v>25</v>
      </c>
      <c r="Q318" s="17" t="s">
        <v>1719</v>
      </c>
    </row>
    <row r="319" spans="1:17" ht="24.9" customHeight="1">
      <c r="A319" s="2"/>
      <c r="B319" s="11" t="s">
        <v>1720</v>
      </c>
      <c r="C319" s="9" t="s">
        <v>1721</v>
      </c>
      <c r="D319" s="12" t="s">
        <v>1722</v>
      </c>
      <c r="E319" s="13" t="s">
        <v>1723</v>
      </c>
      <c r="F319" s="13" t="s">
        <v>1724</v>
      </c>
      <c r="G319" s="14">
        <v>450</v>
      </c>
      <c r="H319" s="14">
        <f t="shared" si="16"/>
        <v>338</v>
      </c>
      <c r="I319" s="14"/>
      <c r="J319" s="15">
        <f t="shared" si="17"/>
        <v>0</v>
      </c>
      <c r="K319" s="12" t="s">
        <v>1725</v>
      </c>
      <c r="L319" s="16" t="str">
        <f t="shared" si="18"/>
        <v>9786267705001</v>
      </c>
      <c r="M319" s="29" t="str">
        <f t="shared" si="19"/>
        <v>https://search.books.com.tw/search/query/key/9786267705001</v>
      </c>
      <c r="N319" s="12" t="s">
        <v>33</v>
      </c>
      <c r="O319" s="12"/>
      <c r="P319" s="12" t="s">
        <v>384</v>
      </c>
      <c r="Q319" s="17" t="s">
        <v>1243</v>
      </c>
    </row>
    <row r="320" spans="1:17" ht="24.9" customHeight="1">
      <c r="A320" s="2"/>
      <c r="B320" s="11" t="s">
        <v>1726</v>
      </c>
      <c r="C320" s="9" t="s">
        <v>1727</v>
      </c>
      <c r="D320" s="12" t="s">
        <v>1728</v>
      </c>
      <c r="E320" s="13" t="s">
        <v>1729</v>
      </c>
      <c r="F320" s="13" t="s">
        <v>1730</v>
      </c>
      <c r="G320" s="14">
        <v>600</v>
      </c>
      <c r="H320" s="14">
        <f t="shared" si="16"/>
        <v>450</v>
      </c>
      <c r="I320" s="14"/>
      <c r="J320" s="15">
        <f t="shared" si="17"/>
        <v>0</v>
      </c>
      <c r="K320" s="12" t="s">
        <v>1731</v>
      </c>
      <c r="L320" s="16" t="str">
        <f t="shared" si="18"/>
        <v>9786269984251</v>
      </c>
      <c r="M320" s="29" t="str">
        <f t="shared" si="19"/>
        <v>https://search.books.com.tw/search/query/key/9786269984251</v>
      </c>
      <c r="N320" s="12" t="s">
        <v>33</v>
      </c>
      <c r="O320" s="12"/>
      <c r="P320" s="12" t="s">
        <v>25</v>
      </c>
      <c r="Q320" s="17" t="s">
        <v>139</v>
      </c>
    </row>
    <row r="321" spans="1:17" ht="24.9" customHeight="1">
      <c r="A321" s="2"/>
      <c r="B321" s="11" t="s">
        <v>1732</v>
      </c>
      <c r="C321" s="9" t="s">
        <v>1733</v>
      </c>
      <c r="D321" s="12" t="s">
        <v>1734</v>
      </c>
      <c r="E321" s="13" t="s">
        <v>1735</v>
      </c>
      <c r="F321" s="13" t="s">
        <v>1736</v>
      </c>
      <c r="G321" s="14">
        <v>380</v>
      </c>
      <c r="H321" s="14">
        <f t="shared" si="16"/>
        <v>285</v>
      </c>
      <c r="I321" s="14"/>
      <c r="J321" s="15">
        <f t="shared" si="17"/>
        <v>0</v>
      </c>
      <c r="K321" s="12" t="s">
        <v>596</v>
      </c>
      <c r="L321" s="16" t="str">
        <f t="shared" si="18"/>
        <v>9786264331449</v>
      </c>
      <c r="M321" s="29" t="str">
        <f t="shared" si="19"/>
        <v>https://search.books.com.tw/search/query/key/9786264331449</v>
      </c>
      <c r="N321" s="12" t="s">
        <v>33</v>
      </c>
      <c r="O321" s="12"/>
      <c r="P321" s="12" t="s">
        <v>25</v>
      </c>
      <c r="Q321" s="17" t="s">
        <v>139</v>
      </c>
    </row>
    <row r="322" spans="1:17" ht="24.9" customHeight="1">
      <c r="A322" s="2"/>
      <c r="B322" s="11" t="s">
        <v>1737</v>
      </c>
      <c r="C322" s="9"/>
      <c r="D322" s="12"/>
      <c r="E322" s="13"/>
      <c r="F322" s="13"/>
      <c r="G322" s="14"/>
      <c r="H322" s="14">
        <f t="shared" ref="H322:H385" si="20">ROUND(G322*75%,0)</f>
        <v>0</v>
      </c>
      <c r="I322" s="14"/>
      <c r="J322" s="15">
        <f t="shared" ref="J322:J385" si="21">H322*I322</f>
        <v>0</v>
      </c>
      <c r="K322" s="12"/>
      <c r="L322" s="16">
        <f t="shared" ref="L322:L385" si="22">HYPERLINK(M322,E322)</f>
        <v>0</v>
      </c>
      <c r="M322" s="29" t="str">
        <f t="shared" ref="M322:M385" si="23">"https://search.books.com.tw/search/query/key/"&amp;E322</f>
        <v>https://search.books.com.tw/search/query/key/</v>
      </c>
      <c r="N322" s="12"/>
      <c r="O322" s="12"/>
      <c r="P322" s="12"/>
      <c r="Q322" s="17" t="s">
        <v>198</v>
      </c>
    </row>
    <row r="323" spans="1:17" ht="24.9" customHeight="1">
      <c r="A323" s="2"/>
      <c r="B323" s="11" t="s">
        <v>1738</v>
      </c>
      <c r="C323" s="9" t="s">
        <v>1739</v>
      </c>
      <c r="D323" s="12" t="s">
        <v>1740</v>
      </c>
      <c r="E323" s="13" t="s">
        <v>1741</v>
      </c>
      <c r="F323" s="13" t="s">
        <v>1742</v>
      </c>
      <c r="G323" s="14">
        <v>380</v>
      </c>
      <c r="H323" s="14">
        <f t="shared" si="20"/>
        <v>285</v>
      </c>
      <c r="I323" s="14"/>
      <c r="J323" s="15">
        <f t="shared" si="21"/>
        <v>0</v>
      </c>
      <c r="K323" s="12" t="s">
        <v>80</v>
      </c>
      <c r="L323" s="16" t="str">
        <f t="shared" si="22"/>
        <v>9789862943083</v>
      </c>
      <c r="M323" s="29" t="str">
        <f t="shared" si="23"/>
        <v>https://search.books.com.tw/search/query/key/9789862943083</v>
      </c>
      <c r="N323" s="12" t="s">
        <v>23</v>
      </c>
      <c r="O323" s="12"/>
      <c r="P323" s="12" t="s">
        <v>45</v>
      </c>
      <c r="Q323" s="17" t="s">
        <v>1743</v>
      </c>
    </row>
    <row r="324" spans="1:17" ht="24.9" customHeight="1">
      <c r="A324" s="2"/>
      <c r="B324" s="11" t="s">
        <v>1744</v>
      </c>
      <c r="C324" s="9" t="s">
        <v>1745</v>
      </c>
      <c r="D324" s="12" t="s">
        <v>1746</v>
      </c>
      <c r="E324" s="13" t="s">
        <v>1747</v>
      </c>
      <c r="F324" s="13" t="s">
        <v>1748</v>
      </c>
      <c r="G324" s="14">
        <v>520</v>
      </c>
      <c r="H324" s="14">
        <f t="shared" si="20"/>
        <v>390</v>
      </c>
      <c r="I324" s="14"/>
      <c r="J324" s="15">
        <f t="shared" si="21"/>
        <v>0</v>
      </c>
      <c r="K324" s="12" t="s">
        <v>32</v>
      </c>
      <c r="L324" s="16" t="str">
        <f t="shared" si="22"/>
        <v>9786264181686</v>
      </c>
      <c r="M324" s="29" t="str">
        <f t="shared" si="23"/>
        <v>https://search.books.com.tw/search/query/key/9786264181686</v>
      </c>
      <c r="N324" s="12" t="s">
        <v>33</v>
      </c>
      <c r="O324" s="12"/>
      <c r="P324" s="12" t="s">
        <v>384</v>
      </c>
      <c r="Q324" s="17" t="s">
        <v>1749</v>
      </c>
    </row>
    <row r="325" spans="1:17" ht="24.9" customHeight="1">
      <c r="A325" s="2"/>
      <c r="B325" s="11" t="s">
        <v>1750</v>
      </c>
      <c r="C325" s="9" t="s">
        <v>1751</v>
      </c>
      <c r="D325" s="12" t="s">
        <v>1752</v>
      </c>
      <c r="E325" s="13" t="s">
        <v>1753</v>
      </c>
      <c r="F325" s="13" t="s">
        <v>1754</v>
      </c>
      <c r="G325" s="14">
        <v>650</v>
      </c>
      <c r="H325" s="14">
        <f t="shared" si="20"/>
        <v>488</v>
      </c>
      <c r="I325" s="14"/>
      <c r="J325" s="15">
        <f t="shared" si="21"/>
        <v>0</v>
      </c>
      <c r="K325" s="12" t="s">
        <v>697</v>
      </c>
      <c r="L325" s="16" t="str">
        <f t="shared" si="22"/>
        <v>9786267558287</v>
      </c>
      <c r="M325" s="29" t="str">
        <f t="shared" si="23"/>
        <v>https://search.books.com.tw/search/query/key/9786267558287</v>
      </c>
      <c r="N325" s="12" t="s">
        <v>33</v>
      </c>
      <c r="O325" s="12"/>
      <c r="P325" s="12" t="s">
        <v>73</v>
      </c>
      <c r="Q325" s="17" t="s">
        <v>1755</v>
      </c>
    </row>
    <row r="326" spans="1:17" ht="24.9" customHeight="1">
      <c r="A326" s="2"/>
      <c r="B326" s="11" t="s">
        <v>1756</v>
      </c>
      <c r="C326" s="9" t="s">
        <v>1757</v>
      </c>
      <c r="D326" s="12" t="s">
        <v>1758</v>
      </c>
      <c r="E326" s="13" t="s">
        <v>1759</v>
      </c>
      <c r="F326" s="13" t="s">
        <v>1760</v>
      </c>
      <c r="G326" s="14">
        <v>500</v>
      </c>
      <c r="H326" s="14">
        <f t="shared" si="20"/>
        <v>375</v>
      </c>
      <c r="I326" s="14"/>
      <c r="J326" s="15">
        <f t="shared" si="21"/>
        <v>0</v>
      </c>
      <c r="K326" s="12" t="s">
        <v>704</v>
      </c>
      <c r="L326" s="16" t="str">
        <f t="shared" si="22"/>
        <v>9786263907256</v>
      </c>
      <c r="M326" s="29" t="str">
        <f t="shared" si="23"/>
        <v>https://search.books.com.tw/search/query/key/9786263907256</v>
      </c>
      <c r="N326" s="12" t="s">
        <v>33</v>
      </c>
      <c r="O326" s="12"/>
      <c r="P326" s="12" t="s">
        <v>73</v>
      </c>
      <c r="Q326" s="17" t="s">
        <v>1023</v>
      </c>
    </row>
    <row r="327" spans="1:17" ht="24.9" customHeight="1">
      <c r="A327" s="2"/>
      <c r="B327" s="11" t="s">
        <v>1761</v>
      </c>
      <c r="C327" s="9" t="s">
        <v>1762</v>
      </c>
      <c r="D327" s="12" t="s">
        <v>1763</v>
      </c>
      <c r="E327" s="13" t="s">
        <v>1764</v>
      </c>
      <c r="F327" s="13" t="s">
        <v>1765</v>
      </c>
      <c r="G327" s="14">
        <v>560</v>
      </c>
      <c r="H327" s="14">
        <f t="shared" si="20"/>
        <v>420</v>
      </c>
      <c r="I327" s="14"/>
      <c r="J327" s="15">
        <f t="shared" si="21"/>
        <v>0</v>
      </c>
      <c r="K327" s="12" t="s">
        <v>1652</v>
      </c>
      <c r="L327" s="16" t="str">
        <f t="shared" si="22"/>
        <v>9786267532959</v>
      </c>
      <c r="M327" s="29" t="str">
        <f t="shared" si="23"/>
        <v>https://search.books.com.tw/search/query/key/9786267532959</v>
      </c>
      <c r="N327" s="12" t="s">
        <v>33</v>
      </c>
      <c r="O327" s="12"/>
      <c r="P327" s="12" t="s">
        <v>25</v>
      </c>
      <c r="Q327" s="17" t="s">
        <v>1766</v>
      </c>
    </row>
    <row r="328" spans="1:17" ht="24.9" customHeight="1">
      <c r="A328" s="2"/>
      <c r="B328" s="11" t="s">
        <v>1767</v>
      </c>
      <c r="C328" s="9" t="s">
        <v>1768</v>
      </c>
      <c r="D328" s="12" t="s">
        <v>1769</v>
      </c>
      <c r="E328" s="13" t="s">
        <v>1770</v>
      </c>
      <c r="F328" s="13" t="s">
        <v>1771</v>
      </c>
      <c r="G328" s="14">
        <v>580</v>
      </c>
      <c r="H328" s="14">
        <f t="shared" si="20"/>
        <v>435</v>
      </c>
      <c r="I328" s="14"/>
      <c r="J328" s="15">
        <f t="shared" si="21"/>
        <v>0</v>
      </c>
      <c r="K328" s="12" t="s">
        <v>697</v>
      </c>
      <c r="L328" s="16" t="str">
        <f t="shared" si="22"/>
        <v>9786267401743</v>
      </c>
      <c r="M328" s="29" t="str">
        <f t="shared" si="23"/>
        <v>https://search.books.com.tw/search/query/key/9786267401743</v>
      </c>
      <c r="N328" s="12" t="s">
        <v>33</v>
      </c>
      <c r="O328" s="12"/>
      <c r="P328" s="12" t="s">
        <v>535</v>
      </c>
      <c r="Q328" s="17" t="s">
        <v>1680</v>
      </c>
    </row>
    <row r="329" spans="1:17" ht="24.9" customHeight="1">
      <c r="A329" s="2"/>
      <c r="B329" s="11" t="s">
        <v>1772</v>
      </c>
      <c r="C329" s="9" t="s">
        <v>1773</v>
      </c>
      <c r="D329" s="12" t="s">
        <v>1774</v>
      </c>
      <c r="E329" s="13" t="s">
        <v>1775</v>
      </c>
      <c r="F329" s="13" t="s">
        <v>1776</v>
      </c>
      <c r="G329" s="14">
        <v>600</v>
      </c>
      <c r="H329" s="14">
        <f t="shared" si="20"/>
        <v>450</v>
      </c>
      <c r="I329" s="14"/>
      <c r="J329" s="15">
        <f t="shared" si="21"/>
        <v>0</v>
      </c>
      <c r="K329" s="12" t="s">
        <v>1777</v>
      </c>
      <c r="L329" s="16" t="str">
        <f t="shared" si="22"/>
        <v>9786267498996</v>
      </c>
      <c r="M329" s="29" t="str">
        <f t="shared" si="23"/>
        <v>https://search.books.com.tw/search/query/key/9786267498996</v>
      </c>
      <c r="N329" s="12" t="s">
        <v>33</v>
      </c>
      <c r="O329" s="12"/>
      <c r="P329" s="12" t="s">
        <v>73</v>
      </c>
      <c r="Q329" s="17" t="s">
        <v>1023</v>
      </c>
    </row>
    <row r="330" spans="1:17" ht="24.9" customHeight="1">
      <c r="A330" s="2"/>
      <c r="B330" s="11" t="s">
        <v>1778</v>
      </c>
      <c r="C330" s="9" t="s">
        <v>1779</v>
      </c>
      <c r="D330" s="12" t="s">
        <v>1099</v>
      </c>
      <c r="E330" s="13" t="s">
        <v>1780</v>
      </c>
      <c r="F330" s="13" t="s">
        <v>1781</v>
      </c>
      <c r="G330" s="14">
        <v>420</v>
      </c>
      <c r="H330" s="14">
        <f t="shared" si="20"/>
        <v>315</v>
      </c>
      <c r="I330" s="14"/>
      <c r="J330" s="15">
        <f t="shared" si="21"/>
        <v>0</v>
      </c>
      <c r="K330" s="12" t="s">
        <v>1782</v>
      </c>
      <c r="L330" s="16" t="str">
        <f t="shared" si="22"/>
        <v>9789863387497</v>
      </c>
      <c r="M330" s="29" t="str">
        <f t="shared" si="23"/>
        <v>https://search.books.com.tw/search/query/key/9789863387497</v>
      </c>
      <c r="N330" s="12" t="s">
        <v>597</v>
      </c>
      <c r="O330" s="12"/>
      <c r="P330" s="12" t="s">
        <v>35</v>
      </c>
      <c r="Q330" s="17" t="s">
        <v>210</v>
      </c>
    </row>
    <row r="331" spans="1:17" ht="24.9" customHeight="1">
      <c r="A331" s="2"/>
      <c r="B331" s="11" t="s">
        <v>1783</v>
      </c>
      <c r="C331" s="9" t="s">
        <v>1784</v>
      </c>
      <c r="D331" s="12" t="s">
        <v>1785</v>
      </c>
      <c r="E331" s="13" t="s">
        <v>1786</v>
      </c>
      <c r="F331" s="13" t="s">
        <v>1787</v>
      </c>
      <c r="G331" s="14">
        <v>260</v>
      </c>
      <c r="H331" s="14">
        <f t="shared" si="20"/>
        <v>195</v>
      </c>
      <c r="I331" s="14"/>
      <c r="J331" s="15">
        <f t="shared" si="21"/>
        <v>0</v>
      </c>
      <c r="K331" s="12" t="s">
        <v>1431</v>
      </c>
      <c r="L331" s="16" t="str">
        <f t="shared" si="22"/>
        <v>9789574902903</v>
      </c>
      <c r="M331" s="29" t="str">
        <f t="shared" si="23"/>
        <v>https://search.books.com.tw/search/query/key/9789574902903</v>
      </c>
      <c r="N331" s="12" t="s">
        <v>43</v>
      </c>
      <c r="O331" s="12"/>
      <c r="P331" s="12" t="s">
        <v>35</v>
      </c>
      <c r="Q331" s="17" t="s">
        <v>1788</v>
      </c>
    </row>
    <row r="332" spans="1:17" ht="24.9" customHeight="1">
      <c r="A332" s="2"/>
      <c r="B332" s="11" t="s">
        <v>1789</v>
      </c>
      <c r="C332" s="9" t="s">
        <v>1790</v>
      </c>
      <c r="D332" s="12" t="s">
        <v>1791</v>
      </c>
      <c r="E332" s="13" t="s">
        <v>1792</v>
      </c>
      <c r="F332" s="13" t="s">
        <v>1760</v>
      </c>
      <c r="G332" s="14">
        <v>450</v>
      </c>
      <c r="H332" s="14">
        <f t="shared" si="20"/>
        <v>338</v>
      </c>
      <c r="I332" s="14"/>
      <c r="J332" s="15">
        <f t="shared" si="21"/>
        <v>0</v>
      </c>
      <c r="K332" s="12" t="s">
        <v>42</v>
      </c>
      <c r="L332" s="16" t="str">
        <f t="shared" si="22"/>
        <v>9789570878509</v>
      </c>
      <c r="M332" s="29" t="str">
        <f t="shared" si="23"/>
        <v>https://search.books.com.tw/search/query/key/9789570878509</v>
      </c>
      <c r="N332" s="12" t="s">
        <v>33</v>
      </c>
      <c r="O332" s="12"/>
      <c r="P332" s="12" t="s">
        <v>35</v>
      </c>
      <c r="Q332" s="17" t="s">
        <v>198</v>
      </c>
    </row>
    <row r="333" spans="1:17" ht="24.9" customHeight="1">
      <c r="A333" s="2"/>
      <c r="B333" s="11" t="s">
        <v>1793</v>
      </c>
      <c r="C333" s="9" t="s">
        <v>1794</v>
      </c>
      <c r="D333" s="12" t="s">
        <v>1795</v>
      </c>
      <c r="E333" s="13" t="s">
        <v>1796</v>
      </c>
      <c r="F333" s="13" t="s">
        <v>1797</v>
      </c>
      <c r="G333" s="14">
        <v>650</v>
      </c>
      <c r="H333" s="14">
        <f t="shared" si="20"/>
        <v>488</v>
      </c>
      <c r="I333" s="14"/>
      <c r="J333" s="15">
        <f t="shared" si="21"/>
        <v>0</v>
      </c>
      <c r="K333" s="12" t="s">
        <v>1798</v>
      </c>
      <c r="L333" s="16" t="str">
        <f t="shared" si="22"/>
        <v>9786267401354</v>
      </c>
      <c r="M333" s="29" t="str">
        <f t="shared" si="23"/>
        <v>https://search.books.com.tw/search/query/key/9786267401354</v>
      </c>
      <c r="N333" s="12" t="s">
        <v>33</v>
      </c>
      <c r="O333" s="12"/>
      <c r="P333" s="12" t="s">
        <v>384</v>
      </c>
      <c r="Q333" s="17" t="s">
        <v>1799</v>
      </c>
    </row>
    <row r="334" spans="1:17" ht="24.9" customHeight="1">
      <c r="A334" s="2"/>
      <c r="B334" s="11" t="s">
        <v>1800</v>
      </c>
      <c r="C334" s="9" t="s">
        <v>1801</v>
      </c>
      <c r="D334" s="12" t="s">
        <v>340</v>
      </c>
      <c r="E334" s="13" t="s">
        <v>1802</v>
      </c>
      <c r="F334" s="13" t="s">
        <v>1803</v>
      </c>
      <c r="G334" s="14">
        <v>350</v>
      </c>
      <c r="H334" s="14">
        <f t="shared" si="20"/>
        <v>263</v>
      </c>
      <c r="I334" s="14"/>
      <c r="J334" s="15">
        <f t="shared" si="21"/>
        <v>0</v>
      </c>
      <c r="K334" s="12" t="s">
        <v>42</v>
      </c>
      <c r="L334" s="16" t="str">
        <f t="shared" si="22"/>
        <v>9789570874990</v>
      </c>
      <c r="M334" s="29" t="str">
        <f t="shared" si="23"/>
        <v>https://search.books.com.tw/search/query/key/9789570874990</v>
      </c>
      <c r="N334" s="12" t="s">
        <v>597</v>
      </c>
      <c r="O334" s="12"/>
      <c r="P334" s="12" t="s">
        <v>384</v>
      </c>
      <c r="Q334" s="17" t="s">
        <v>1804</v>
      </c>
    </row>
    <row r="335" spans="1:17" ht="24.9" customHeight="1">
      <c r="A335" s="2"/>
      <c r="B335" s="11" t="s">
        <v>1805</v>
      </c>
      <c r="C335" s="9" t="s">
        <v>1806</v>
      </c>
      <c r="D335" s="12" t="s">
        <v>1807</v>
      </c>
      <c r="E335" s="13" t="s">
        <v>1808</v>
      </c>
      <c r="F335" s="13" t="s">
        <v>1809</v>
      </c>
      <c r="G335" s="14">
        <v>1500</v>
      </c>
      <c r="H335" s="14">
        <f t="shared" si="20"/>
        <v>1125</v>
      </c>
      <c r="I335" s="14"/>
      <c r="J335" s="15">
        <f t="shared" si="21"/>
        <v>0</v>
      </c>
      <c r="K335" s="12" t="s">
        <v>1810</v>
      </c>
      <c r="L335" s="16" t="str">
        <f t="shared" si="22"/>
        <v>9786267784495</v>
      </c>
      <c r="M335" s="29" t="str">
        <f t="shared" si="23"/>
        <v>https://search.books.com.tw/search/query/key/9786267784495</v>
      </c>
      <c r="N335" s="12" t="s">
        <v>33</v>
      </c>
      <c r="O335" s="12"/>
      <c r="P335" s="12" t="s">
        <v>73</v>
      </c>
      <c r="Q335" s="17" t="s">
        <v>275</v>
      </c>
    </row>
    <row r="336" spans="1:17" ht="24.9" customHeight="1">
      <c r="A336" s="2"/>
      <c r="B336" s="11" t="s">
        <v>1811</v>
      </c>
      <c r="C336" s="9" t="s">
        <v>1812</v>
      </c>
      <c r="D336" s="12" t="s">
        <v>1693</v>
      </c>
      <c r="E336" s="13" t="s">
        <v>1813</v>
      </c>
      <c r="F336" s="13" t="s">
        <v>1814</v>
      </c>
      <c r="G336" s="14">
        <v>630</v>
      </c>
      <c r="H336" s="14">
        <f t="shared" si="20"/>
        <v>473</v>
      </c>
      <c r="I336" s="14"/>
      <c r="J336" s="15">
        <f t="shared" si="21"/>
        <v>0</v>
      </c>
      <c r="K336" s="12" t="s">
        <v>150</v>
      </c>
      <c r="L336" s="16" t="str">
        <f t="shared" si="22"/>
        <v>9789862627341</v>
      </c>
      <c r="M336" s="29" t="str">
        <f t="shared" si="23"/>
        <v>https://search.books.com.tw/search/query/key/9789862627341</v>
      </c>
      <c r="N336" s="12" t="s">
        <v>33</v>
      </c>
      <c r="O336" s="12"/>
      <c r="P336" s="12" t="s">
        <v>384</v>
      </c>
      <c r="Q336" s="17" t="s">
        <v>1815</v>
      </c>
    </row>
    <row r="337" spans="1:17" ht="24.9" customHeight="1">
      <c r="A337" s="2"/>
      <c r="B337" s="11" t="s">
        <v>1816</v>
      </c>
      <c r="C337" s="9" t="s">
        <v>1817</v>
      </c>
      <c r="D337" s="12" t="s">
        <v>1818</v>
      </c>
      <c r="E337" s="13" t="s">
        <v>1819</v>
      </c>
      <c r="F337" s="13" t="s">
        <v>1820</v>
      </c>
      <c r="G337" s="14">
        <v>420</v>
      </c>
      <c r="H337" s="14">
        <f t="shared" si="20"/>
        <v>315</v>
      </c>
      <c r="I337" s="14"/>
      <c r="J337" s="15">
        <f t="shared" si="21"/>
        <v>0</v>
      </c>
      <c r="K337" s="12" t="s">
        <v>32</v>
      </c>
      <c r="L337" s="16" t="str">
        <f t="shared" si="22"/>
        <v>9789573292395</v>
      </c>
      <c r="M337" s="29" t="str">
        <f t="shared" si="23"/>
        <v>https://search.books.com.tw/search/query/key/9789573292395</v>
      </c>
      <c r="N337" s="12" t="s">
        <v>33</v>
      </c>
      <c r="O337" s="12"/>
      <c r="P337" s="12" t="s">
        <v>35</v>
      </c>
      <c r="Q337" s="17" t="s">
        <v>36</v>
      </c>
    </row>
    <row r="338" spans="1:17" ht="24.9" customHeight="1">
      <c r="A338" s="2"/>
      <c r="B338" s="11" t="s">
        <v>1821</v>
      </c>
      <c r="C338" s="9" t="s">
        <v>1822</v>
      </c>
      <c r="D338" s="12" t="s">
        <v>1818</v>
      </c>
      <c r="E338" s="13" t="s">
        <v>1823</v>
      </c>
      <c r="F338" s="13" t="s">
        <v>1820</v>
      </c>
      <c r="G338" s="14">
        <v>420</v>
      </c>
      <c r="H338" s="14">
        <f t="shared" si="20"/>
        <v>315</v>
      </c>
      <c r="I338" s="14"/>
      <c r="J338" s="15">
        <f t="shared" si="21"/>
        <v>0</v>
      </c>
      <c r="K338" s="12" t="s">
        <v>32</v>
      </c>
      <c r="L338" s="16" t="str">
        <f t="shared" si="22"/>
        <v>9789573292401</v>
      </c>
      <c r="M338" s="29" t="str">
        <f t="shared" si="23"/>
        <v>https://search.books.com.tw/search/query/key/9789573292401</v>
      </c>
      <c r="N338" s="12" t="s">
        <v>33</v>
      </c>
      <c r="O338" s="12"/>
      <c r="P338" s="12" t="s">
        <v>35</v>
      </c>
      <c r="Q338" s="17" t="s">
        <v>36</v>
      </c>
    </row>
    <row r="339" spans="1:17" ht="24.9" customHeight="1">
      <c r="A339" s="2"/>
      <c r="B339" s="11" t="s">
        <v>1824</v>
      </c>
      <c r="C339" s="9" t="s">
        <v>1825</v>
      </c>
      <c r="D339" s="12" t="s">
        <v>1826</v>
      </c>
      <c r="E339" s="13" t="s">
        <v>1827</v>
      </c>
      <c r="F339" s="13" t="s">
        <v>1828</v>
      </c>
      <c r="G339" s="14">
        <v>490</v>
      </c>
      <c r="H339" s="14">
        <f t="shared" si="20"/>
        <v>368</v>
      </c>
      <c r="I339" s="14"/>
      <c r="J339" s="15">
        <f t="shared" si="21"/>
        <v>0</v>
      </c>
      <c r="K339" s="12" t="s">
        <v>349</v>
      </c>
      <c r="L339" s="16" t="str">
        <f t="shared" si="22"/>
        <v>9786263208209</v>
      </c>
      <c r="M339" s="29" t="str">
        <f t="shared" si="23"/>
        <v>https://search.books.com.tw/search/query/key/9786263208209</v>
      </c>
      <c r="N339" s="12" t="s">
        <v>33</v>
      </c>
      <c r="O339" s="12"/>
      <c r="P339" s="12" t="s">
        <v>384</v>
      </c>
      <c r="Q339" s="17" t="s">
        <v>706</v>
      </c>
    </row>
    <row r="340" spans="1:17" ht="24.9" customHeight="1">
      <c r="A340" s="2"/>
      <c r="B340" s="11" t="s">
        <v>1829</v>
      </c>
      <c r="C340" s="9" t="s">
        <v>1830</v>
      </c>
      <c r="D340" s="12" t="s">
        <v>1831</v>
      </c>
      <c r="E340" s="13" t="s">
        <v>1832</v>
      </c>
      <c r="F340" s="13" t="s">
        <v>1833</v>
      </c>
      <c r="G340" s="14">
        <v>480</v>
      </c>
      <c r="H340" s="14">
        <f t="shared" si="20"/>
        <v>360</v>
      </c>
      <c r="I340" s="14"/>
      <c r="J340" s="15">
        <f t="shared" si="21"/>
        <v>0</v>
      </c>
      <c r="K340" s="12" t="s">
        <v>1834</v>
      </c>
      <c r="L340" s="16" t="str">
        <f t="shared" si="22"/>
        <v>9786269766987</v>
      </c>
      <c r="M340" s="29" t="str">
        <f t="shared" si="23"/>
        <v>https://search.books.com.tw/search/query/key/9786269766987</v>
      </c>
      <c r="N340" s="12" t="s">
        <v>33</v>
      </c>
      <c r="O340" s="12"/>
      <c r="P340" s="12" t="s">
        <v>35</v>
      </c>
      <c r="Q340" s="17" t="s">
        <v>706</v>
      </c>
    </row>
    <row r="341" spans="1:17" ht="24.9" customHeight="1">
      <c r="A341" s="2"/>
      <c r="B341" s="11" t="s">
        <v>1835</v>
      </c>
      <c r="C341" s="9" t="s">
        <v>1836</v>
      </c>
      <c r="D341" s="12" t="s">
        <v>1837</v>
      </c>
      <c r="E341" s="13" t="s">
        <v>1838</v>
      </c>
      <c r="F341" s="13" t="s">
        <v>1839</v>
      </c>
      <c r="G341" s="14">
        <v>520</v>
      </c>
      <c r="H341" s="14">
        <f t="shared" si="20"/>
        <v>390</v>
      </c>
      <c r="I341" s="14"/>
      <c r="J341" s="15">
        <f t="shared" si="21"/>
        <v>0</v>
      </c>
      <c r="K341" s="12" t="s">
        <v>1553</v>
      </c>
      <c r="L341" s="16" t="str">
        <f t="shared" si="22"/>
        <v>9789863715573</v>
      </c>
      <c r="M341" s="29" t="str">
        <f t="shared" si="23"/>
        <v>https://search.books.com.tw/search/query/key/9789863715573</v>
      </c>
      <c r="N341" s="12" t="s">
        <v>1840</v>
      </c>
      <c r="O341" s="12"/>
      <c r="P341" s="12" t="s">
        <v>73</v>
      </c>
      <c r="Q341" s="17" t="s">
        <v>309</v>
      </c>
    </row>
    <row r="342" spans="1:17" ht="24.9" customHeight="1">
      <c r="A342" s="2"/>
      <c r="B342" s="11" t="s">
        <v>1841</v>
      </c>
      <c r="C342" s="9" t="s">
        <v>1842</v>
      </c>
      <c r="D342" s="12" t="s">
        <v>324</v>
      </c>
      <c r="E342" s="13" t="s">
        <v>1843</v>
      </c>
      <c r="F342" s="13" t="s">
        <v>1814</v>
      </c>
      <c r="G342" s="14">
        <v>1700</v>
      </c>
      <c r="H342" s="14">
        <f t="shared" si="20"/>
        <v>1275</v>
      </c>
      <c r="I342" s="14"/>
      <c r="J342" s="15">
        <f t="shared" si="21"/>
        <v>0</v>
      </c>
      <c r="K342" s="12" t="s">
        <v>150</v>
      </c>
      <c r="L342" s="16" t="str">
        <f t="shared" si="22"/>
        <v>4717702127343</v>
      </c>
      <c r="M342" s="29" t="str">
        <f t="shared" si="23"/>
        <v>https://search.books.com.tw/search/query/key/4717702127343</v>
      </c>
      <c r="N342" s="12" t="s">
        <v>33</v>
      </c>
      <c r="O342" s="12"/>
      <c r="P342" s="12" t="s">
        <v>25</v>
      </c>
      <c r="Q342" s="17" t="s">
        <v>275</v>
      </c>
    </row>
    <row r="343" spans="1:17" ht="24.9" customHeight="1">
      <c r="A343" s="2"/>
      <c r="B343" s="11" t="s">
        <v>1844</v>
      </c>
      <c r="C343" s="9" t="s">
        <v>1845</v>
      </c>
      <c r="D343" s="12" t="s">
        <v>1846</v>
      </c>
      <c r="E343" s="13" t="s">
        <v>1847</v>
      </c>
      <c r="F343" s="13" t="s">
        <v>1848</v>
      </c>
      <c r="G343" s="14">
        <v>350</v>
      </c>
      <c r="H343" s="14">
        <f t="shared" si="20"/>
        <v>263</v>
      </c>
      <c r="I343" s="14"/>
      <c r="J343" s="15">
        <f t="shared" si="21"/>
        <v>0</v>
      </c>
      <c r="K343" s="12" t="s">
        <v>349</v>
      </c>
      <c r="L343" s="16" t="str">
        <f t="shared" si="22"/>
        <v>9786263204546</v>
      </c>
      <c r="M343" s="29" t="str">
        <f t="shared" si="23"/>
        <v>https://search.books.com.tw/search/query/key/9786263204546</v>
      </c>
      <c r="N343" s="12" t="s">
        <v>1047</v>
      </c>
      <c r="O343" s="12"/>
      <c r="P343" s="12" t="s">
        <v>25</v>
      </c>
      <c r="Q343" s="17" t="s">
        <v>1849</v>
      </c>
    </row>
    <row r="344" spans="1:17" ht="24.9" customHeight="1">
      <c r="A344" s="2"/>
      <c r="B344" s="11" t="s">
        <v>1850</v>
      </c>
      <c r="C344" s="9" t="s">
        <v>1851</v>
      </c>
      <c r="D344" s="12" t="s">
        <v>1846</v>
      </c>
      <c r="E344" s="13" t="s">
        <v>1852</v>
      </c>
      <c r="F344" s="13" t="s">
        <v>1853</v>
      </c>
      <c r="G344" s="14">
        <v>350</v>
      </c>
      <c r="H344" s="14">
        <f t="shared" si="20"/>
        <v>263</v>
      </c>
      <c r="I344" s="14"/>
      <c r="J344" s="15">
        <f t="shared" si="21"/>
        <v>0</v>
      </c>
      <c r="K344" s="12" t="s">
        <v>349</v>
      </c>
      <c r="L344" s="16" t="str">
        <f t="shared" si="22"/>
        <v>9786263204942</v>
      </c>
      <c r="M344" s="29" t="str">
        <f t="shared" si="23"/>
        <v>https://search.books.com.tw/search/query/key/9786263204942</v>
      </c>
      <c r="N344" s="12" t="s">
        <v>597</v>
      </c>
      <c r="O344" s="12"/>
      <c r="P344" s="12" t="s">
        <v>25</v>
      </c>
      <c r="Q344" s="17" t="s">
        <v>753</v>
      </c>
    </row>
    <row r="345" spans="1:17" ht="24.9" customHeight="1">
      <c r="A345" s="2"/>
      <c r="B345" s="11" t="s">
        <v>1854</v>
      </c>
      <c r="C345" s="9" t="s">
        <v>1855</v>
      </c>
      <c r="D345" s="12" t="s">
        <v>1856</v>
      </c>
      <c r="E345" s="13" t="s">
        <v>1857</v>
      </c>
      <c r="F345" s="13" t="s">
        <v>1858</v>
      </c>
      <c r="G345" s="14">
        <v>350</v>
      </c>
      <c r="H345" s="14">
        <f t="shared" si="20"/>
        <v>263</v>
      </c>
      <c r="I345" s="14"/>
      <c r="J345" s="15">
        <f t="shared" si="21"/>
        <v>0</v>
      </c>
      <c r="K345" s="12" t="s">
        <v>596</v>
      </c>
      <c r="L345" s="16" t="str">
        <f t="shared" si="22"/>
        <v>9786267483213</v>
      </c>
      <c r="M345" s="29" t="str">
        <f t="shared" si="23"/>
        <v>https://search.books.com.tw/search/query/key/9786267483213</v>
      </c>
      <c r="N345" s="12" t="s">
        <v>33</v>
      </c>
      <c r="O345" s="12"/>
      <c r="P345" s="12" t="s">
        <v>25</v>
      </c>
      <c r="Q345" s="17" t="s">
        <v>26</v>
      </c>
    </row>
    <row r="346" spans="1:17" ht="24.9" customHeight="1">
      <c r="A346" s="2"/>
      <c r="B346" s="11" t="s">
        <v>1859</v>
      </c>
      <c r="C346" s="9" t="s">
        <v>1860</v>
      </c>
      <c r="D346" s="12" t="s">
        <v>1861</v>
      </c>
      <c r="E346" s="13" t="s">
        <v>1862</v>
      </c>
      <c r="F346" s="13" t="s">
        <v>1863</v>
      </c>
      <c r="G346" s="14">
        <v>480</v>
      </c>
      <c r="H346" s="14">
        <f t="shared" si="20"/>
        <v>360</v>
      </c>
      <c r="I346" s="14"/>
      <c r="J346" s="15">
        <f t="shared" si="21"/>
        <v>0</v>
      </c>
      <c r="K346" s="12" t="s">
        <v>42</v>
      </c>
      <c r="L346" s="16" t="str">
        <f t="shared" si="22"/>
        <v>9789570874723</v>
      </c>
      <c r="M346" s="29" t="str">
        <f t="shared" si="23"/>
        <v>https://search.books.com.tw/search/query/key/9789570874723</v>
      </c>
      <c r="N346" s="12" t="s">
        <v>23</v>
      </c>
      <c r="O346" s="12"/>
      <c r="P346" s="12" t="s">
        <v>535</v>
      </c>
      <c r="Q346" s="17" t="s">
        <v>1680</v>
      </c>
    </row>
    <row r="347" spans="1:17" ht="24.9" customHeight="1">
      <c r="A347" s="2"/>
      <c r="B347" s="11" t="s">
        <v>1864</v>
      </c>
      <c r="C347" s="9" t="s">
        <v>1865</v>
      </c>
      <c r="D347" s="12" t="s">
        <v>1710</v>
      </c>
      <c r="E347" s="13" t="s">
        <v>1866</v>
      </c>
      <c r="F347" s="13" t="s">
        <v>1867</v>
      </c>
      <c r="G347" s="14">
        <v>726</v>
      </c>
      <c r="H347" s="14">
        <f t="shared" si="20"/>
        <v>545</v>
      </c>
      <c r="I347" s="14"/>
      <c r="J347" s="15">
        <f t="shared" si="21"/>
        <v>0</v>
      </c>
      <c r="K347" s="12" t="s">
        <v>1713</v>
      </c>
      <c r="L347" s="16" t="str">
        <f t="shared" si="22"/>
        <v>4717702127206</v>
      </c>
      <c r="M347" s="29" t="str">
        <f t="shared" si="23"/>
        <v>https://search.books.com.tw/search/query/key/4717702127206</v>
      </c>
      <c r="N347" s="12" t="s">
        <v>597</v>
      </c>
      <c r="O347" s="12"/>
      <c r="P347" s="12" t="s">
        <v>535</v>
      </c>
      <c r="Q347" s="17" t="s">
        <v>1868</v>
      </c>
    </row>
    <row r="348" spans="1:17" ht="24.9" customHeight="1">
      <c r="A348" s="2"/>
      <c r="B348" s="11" t="s">
        <v>1869</v>
      </c>
      <c r="C348" s="9" t="s">
        <v>1870</v>
      </c>
      <c r="D348" s="12" t="s">
        <v>1871</v>
      </c>
      <c r="E348" s="13" t="s">
        <v>1872</v>
      </c>
      <c r="F348" s="13" t="s">
        <v>1873</v>
      </c>
      <c r="G348" s="14">
        <v>380</v>
      </c>
      <c r="H348" s="14">
        <f t="shared" si="20"/>
        <v>285</v>
      </c>
      <c r="I348" s="14"/>
      <c r="J348" s="15">
        <f t="shared" si="21"/>
        <v>0</v>
      </c>
      <c r="K348" s="12" t="s">
        <v>1874</v>
      </c>
      <c r="L348" s="16" t="str">
        <f t="shared" si="22"/>
        <v>9786269786282</v>
      </c>
      <c r="M348" s="29" t="str">
        <f t="shared" si="23"/>
        <v>https://search.books.com.tw/search/query/key/9786269786282</v>
      </c>
      <c r="N348" s="12" t="s">
        <v>33</v>
      </c>
      <c r="O348" s="12"/>
      <c r="P348" s="12" t="s">
        <v>45</v>
      </c>
      <c r="Q348" s="17" t="s">
        <v>1875</v>
      </c>
    </row>
    <row r="349" spans="1:17" ht="24.9" customHeight="1">
      <c r="A349" s="2"/>
      <c r="B349" s="11" t="s">
        <v>1876</v>
      </c>
      <c r="C349" s="9" t="s">
        <v>1877</v>
      </c>
      <c r="D349" s="12" t="s">
        <v>1878</v>
      </c>
      <c r="E349" s="13" t="s">
        <v>1879</v>
      </c>
      <c r="F349" s="13" t="s">
        <v>1301</v>
      </c>
      <c r="G349" s="14">
        <v>480</v>
      </c>
      <c r="H349" s="14">
        <f t="shared" si="20"/>
        <v>360</v>
      </c>
      <c r="I349" s="14"/>
      <c r="J349" s="15">
        <f t="shared" si="21"/>
        <v>0</v>
      </c>
      <c r="K349" s="12" t="s">
        <v>189</v>
      </c>
      <c r="L349" s="16" t="str">
        <f t="shared" si="22"/>
        <v>9786267509623</v>
      </c>
      <c r="M349" s="29" t="str">
        <f t="shared" si="23"/>
        <v>https://search.books.com.tw/search/query/key/9786267509623</v>
      </c>
      <c r="N349" s="12" t="s">
        <v>33</v>
      </c>
      <c r="O349" s="12"/>
      <c r="P349" s="12" t="s">
        <v>35</v>
      </c>
      <c r="Q349" s="17" t="s">
        <v>1492</v>
      </c>
    </row>
    <row r="350" spans="1:17" ht="24.9" customHeight="1">
      <c r="A350" s="2"/>
      <c r="B350" s="11" t="s">
        <v>1880</v>
      </c>
      <c r="C350" s="9" t="s">
        <v>1881</v>
      </c>
      <c r="D350" s="12" t="s">
        <v>1882</v>
      </c>
      <c r="E350" s="13" t="s">
        <v>1883</v>
      </c>
      <c r="F350" s="13" t="s">
        <v>1884</v>
      </c>
      <c r="G350" s="14">
        <v>380</v>
      </c>
      <c r="H350" s="14">
        <f t="shared" si="20"/>
        <v>285</v>
      </c>
      <c r="I350" s="14"/>
      <c r="J350" s="15">
        <f t="shared" si="21"/>
        <v>0</v>
      </c>
      <c r="K350" s="12" t="s">
        <v>474</v>
      </c>
      <c r="L350" s="16" t="str">
        <f t="shared" si="22"/>
        <v>9789869987073</v>
      </c>
      <c r="M350" s="29" t="str">
        <f t="shared" si="23"/>
        <v>https://search.books.com.tw/search/query/key/9789869987073</v>
      </c>
      <c r="N350" s="12" t="s">
        <v>23</v>
      </c>
      <c r="O350" s="12"/>
      <c r="P350" s="12" t="s">
        <v>45</v>
      </c>
      <c r="Q350" s="17" t="s">
        <v>1885</v>
      </c>
    </row>
    <row r="351" spans="1:17" ht="24.9" customHeight="1">
      <c r="A351" s="2"/>
      <c r="B351" s="11" t="s">
        <v>1886</v>
      </c>
      <c r="C351" s="9" t="s">
        <v>1887</v>
      </c>
      <c r="D351" s="12" t="s">
        <v>1888</v>
      </c>
      <c r="E351" s="13" t="s">
        <v>1889</v>
      </c>
      <c r="F351" s="13" t="s">
        <v>1890</v>
      </c>
      <c r="G351" s="14">
        <v>900</v>
      </c>
      <c r="H351" s="14">
        <f t="shared" si="20"/>
        <v>675</v>
      </c>
      <c r="I351" s="14"/>
      <c r="J351" s="15">
        <f t="shared" si="21"/>
        <v>0</v>
      </c>
      <c r="K351" s="12" t="s">
        <v>1652</v>
      </c>
      <c r="L351" s="16" t="str">
        <f t="shared" si="22"/>
        <v>9786267532249</v>
      </c>
      <c r="M351" s="29" t="str">
        <f t="shared" si="23"/>
        <v>https://search.books.com.tw/search/query/key/9786267532249</v>
      </c>
      <c r="N351" s="12" t="s">
        <v>33</v>
      </c>
      <c r="O351" s="12"/>
      <c r="P351" s="12" t="s">
        <v>73</v>
      </c>
      <c r="Q351" s="17" t="s">
        <v>1891</v>
      </c>
    </row>
    <row r="352" spans="1:17" ht="24.9" customHeight="1">
      <c r="A352" s="2"/>
      <c r="B352" s="11" t="s">
        <v>1892</v>
      </c>
      <c r="C352" s="9" t="s">
        <v>1893</v>
      </c>
      <c r="D352" s="12" t="s">
        <v>1894</v>
      </c>
      <c r="E352" s="13" t="s">
        <v>1895</v>
      </c>
      <c r="F352" s="13" t="s">
        <v>1896</v>
      </c>
      <c r="G352" s="14">
        <v>280</v>
      </c>
      <c r="H352" s="14">
        <f t="shared" si="20"/>
        <v>210</v>
      </c>
      <c r="I352" s="14"/>
      <c r="J352" s="15">
        <f t="shared" si="21"/>
        <v>0</v>
      </c>
      <c r="K352" s="12" t="s">
        <v>22</v>
      </c>
      <c r="L352" s="16" t="str">
        <f t="shared" si="22"/>
        <v>9789862115671</v>
      </c>
      <c r="M352" s="29" t="str">
        <f t="shared" si="23"/>
        <v>https://search.books.com.tw/search/query/key/9789862115671</v>
      </c>
      <c r="N352" s="12" t="s">
        <v>43</v>
      </c>
      <c r="O352" s="12"/>
      <c r="P352" s="12" t="s">
        <v>45</v>
      </c>
      <c r="Q352" s="17" t="s">
        <v>1500</v>
      </c>
    </row>
    <row r="353" spans="1:17" ht="24.9" customHeight="1">
      <c r="A353" s="2"/>
      <c r="B353" s="11" t="s">
        <v>1897</v>
      </c>
      <c r="C353" s="9" t="s">
        <v>1898</v>
      </c>
      <c r="D353" s="12" t="s">
        <v>1899</v>
      </c>
      <c r="E353" s="13" t="s">
        <v>1900</v>
      </c>
      <c r="F353" s="13" t="s">
        <v>1901</v>
      </c>
      <c r="G353" s="14">
        <v>420</v>
      </c>
      <c r="H353" s="14">
        <f t="shared" si="20"/>
        <v>315</v>
      </c>
      <c r="I353" s="14"/>
      <c r="J353" s="15">
        <f t="shared" si="21"/>
        <v>0</v>
      </c>
      <c r="K353" s="12" t="s">
        <v>32</v>
      </c>
      <c r="L353" s="16" t="str">
        <f t="shared" si="22"/>
        <v>9789865659813</v>
      </c>
      <c r="M353" s="29" t="str">
        <f t="shared" si="23"/>
        <v>https://search.books.com.tw/search/query/key/9789865659813</v>
      </c>
      <c r="N353" s="12" t="s">
        <v>33</v>
      </c>
      <c r="O353" s="12"/>
      <c r="P353" s="12" t="s">
        <v>25</v>
      </c>
      <c r="Q353" s="17" t="s">
        <v>139</v>
      </c>
    </row>
    <row r="354" spans="1:17" ht="24.9" customHeight="1">
      <c r="A354" s="2"/>
      <c r="B354" s="11" t="s">
        <v>1902</v>
      </c>
      <c r="C354" s="9" t="s">
        <v>1903</v>
      </c>
      <c r="D354" s="12" t="s">
        <v>1904</v>
      </c>
      <c r="E354" s="13" t="s">
        <v>1905</v>
      </c>
      <c r="F354" s="13" t="s">
        <v>1906</v>
      </c>
      <c r="G354" s="14">
        <v>379</v>
      </c>
      <c r="H354" s="14">
        <f t="shared" si="20"/>
        <v>284</v>
      </c>
      <c r="I354" s="14"/>
      <c r="J354" s="15">
        <f t="shared" si="21"/>
        <v>0</v>
      </c>
      <c r="K354" s="12" t="s">
        <v>1907</v>
      </c>
      <c r="L354" s="16" t="str">
        <f t="shared" si="22"/>
        <v>9786267203613</v>
      </c>
      <c r="M354" s="29" t="str">
        <f t="shared" si="23"/>
        <v>https://search.books.com.tw/search/query/key/9786267203613</v>
      </c>
      <c r="N354" s="12" t="s">
        <v>33</v>
      </c>
      <c r="O354" s="12"/>
      <c r="P354" s="12" t="s">
        <v>45</v>
      </c>
      <c r="Q354" s="17" t="s">
        <v>1908</v>
      </c>
    </row>
    <row r="355" spans="1:17" ht="24.9" customHeight="1">
      <c r="A355" s="2"/>
      <c r="B355" s="11" t="s">
        <v>1909</v>
      </c>
      <c r="C355" s="9" t="s">
        <v>1910</v>
      </c>
      <c r="D355" s="12" t="s">
        <v>1911</v>
      </c>
      <c r="E355" s="13" t="s">
        <v>1912</v>
      </c>
      <c r="F355" s="13" t="s">
        <v>1913</v>
      </c>
      <c r="G355" s="14">
        <v>320</v>
      </c>
      <c r="H355" s="14">
        <f t="shared" si="20"/>
        <v>240</v>
      </c>
      <c r="I355" s="14"/>
      <c r="J355" s="15">
        <f t="shared" si="21"/>
        <v>0</v>
      </c>
      <c r="K355" s="12" t="s">
        <v>1188</v>
      </c>
      <c r="L355" s="16" t="str">
        <f t="shared" si="22"/>
        <v>9786269585106</v>
      </c>
      <c r="M355" s="29" t="str">
        <f t="shared" si="23"/>
        <v>https://search.books.com.tw/search/query/key/9786269585106</v>
      </c>
      <c r="N355" s="12" t="s">
        <v>343</v>
      </c>
      <c r="O355" s="12"/>
      <c r="P355" s="12" t="s">
        <v>45</v>
      </c>
      <c r="Q355" s="17" t="s">
        <v>1914</v>
      </c>
    </row>
    <row r="356" spans="1:17" ht="24.9" customHeight="1">
      <c r="A356" s="2"/>
      <c r="B356" s="11" t="s">
        <v>1915</v>
      </c>
      <c r="C356" s="9" t="s">
        <v>1916</v>
      </c>
      <c r="D356" s="12" t="s">
        <v>1917</v>
      </c>
      <c r="E356" s="13" t="s">
        <v>1918</v>
      </c>
      <c r="F356" s="13" t="s">
        <v>1919</v>
      </c>
      <c r="G356" s="14">
        <v>480</v>
      </c>
      <c r="H356" s="14">
        <f t="shared" si="20"/>
        <v>360</v>
      </c>
      <c r="I356" s="14"/>
      <c r="J356" s="15">
        <f t="shared" si="21"/>
        <v>0</v>
      </c>
      <c r="K356" s="12" t="s">
        <v>1674</v>
      </c>
      <c r="L356" s="16" t="str">
        <f t="shared" si="22"/>
        <v>9786269258451</v>
      </c>
      <c r="M356" s="29" t="str">
        <f t="shared" si="23"/>
        <v>https://search.books.com.tw/search/query/key/9786269258451</v>
      </c>
      <c r="N356" s="12" t="s">
        <v>33</v>
      </c>
      <c r="O356" s="12"/>
      <c r="P356" s="12" t="s">
        <v>35</v>
      </c>
      <c r="Q356" s="17" t="s">
        <v>36</v>
      </c>
    </row>
    <row r="357" spans="1:17" ht="24.9" customHeight="1">
      <c r="A357" s="2"/>
      <c r="B357" s="11" t="s">
        <v>1920</v>
      </c>
      <c r="C357" s="9" t="s">
        <v>1921</v>
      </c>
      <c r="D357" s="12" t="s">
        <v>1922</v>
      </c>
      <c r="E357" s="13" t="s">
        <v>1923</v>
      </c>
      <c r="F357" s="13" t="s">
        <v>1924</v>
      </c>
      <c r="G357" s="14">
        <v>630</v>
      </c>
      <c r="H357" s="14">
        <f t="shared" si="20"/>
        <v>473</v>
      </c>
      <c r="I357" s="14"/>
      <c r="J357" s="15">
        <f t="shared" si="21"/>
        <v>0</v>
      </c>
      <c r="K357" s="12" t="s">
        <v>596</v>
      </c>
      <c r="L357" s="16" t="str">
        <f t="shared" si="22"/>
        <v>9786267483664</v>
      </c>
      <c r="M357" s="29" t="str">
        <f t="shared" si="23"/>
        <v>https://search.books.com.tw/search/query/key/9786267483664</v>
      </c>
      <c r="N357" s="12" t="s">
        <v>33</v>
      </c>
      <c r="O357" s="12"/>
      <c r="P357" s="12" t="s">
        <v>45</v>
      </c>
      <c r="Q357" s="17" t="s">
        <v>1925</v>
      </c>
    </row>
    <row r="358" spans="1:17" ht="24.9" customHeight="1">
      <c r="A358" s="2"/>
      <c r="B358" s="11" t="s">
        <v>1926</v>
      </c>
      <c r="C358" s="9" t="s">
        <v>1927</v>
      </c>
      <c r="D358" s="12" t="s">
        <v>1928</v>
      </c>
      <c r="E358" s="13" t="s">
        <v>1929</v>
      </c>
      <c r="F358" s="13" t="s">
        <v>1930</v>
      </c>
      <c r="G358" s="14">
        <v>350</v>
      </c>
      <c r="H358" s="14">
        <f t="shared" si="20"/>
        <v>263</v>
      </c>
      <c r="I358" s="14"/>
      <c r="J358" s="15">
        <f t="shared" si="21"/>
        <v>0</v>
      </c>
      <c r="K358" s="12" t="s">
        <v>22</v>
      </c>
      <c r="L358" s="16" t="str">
        <f t="shared" si="22"/>
        <v>9789862116272</v>
      </c>
      <c r="M358" s="29" t="str">
        <f t="shared" si="23"/>
        <v>https://search.books.com.tw/search/query/key/9789862116272</v>
      </c>
      <c r="N358" s="12" t="s">
        <v>33</v>
      </c>
      <c r="O358" s="12"/>
      <c r="P358" s="12" t="s">
        <v>535</v>
      </c>
      <c r="Q358" s="17" t="s">
        <v>74</v>
      </c>
    </row>
    <row r="359" spans="1:17" ht="24.9" customHeight="1">
      <c r="A359" s="2"/>
      <c r="B359" s="11" t="s">
        <v>1931</v>
      </c>
      <c r="C359" s="9" t="s">
        <v>1932</v>
      </c>
      <c r="D359" s="12" t="s">
        <v>1933</v>
      </c>
      <c r="E359" s="13" t="s">
        <v>1934</v>
      </c>
      <c r="F359" s="13" t="s">
        <v>1935</v>
      </c>
      <c r="G359" s="14">
        <v>630</v>
      </c>
      <c r="H359" s="14">
        <f t="shared" si="20"/>
        <v>473</v>
      </c>
      <c r="I359" s="14"/>
      <c r="J359" s="15">
        <f t="shared" si="21"/>
        <v>0</v>
      </c>
      <c r="K359" s="12" t="s">
        <v>541</v>
      </c>
      <c r="L359" s="16" t="str">
        <f t="shared" si="22"/>
        <v>9786267645185</v>
      </c>
      <c r="M359" s="29" t="str">
        <f t="shared" si="23"/>
        <v>https://search.books.com.tw/search/query/key/9786267645185</v>
      </c>
      <c r="N359" s="12" t="s">
        <v>33</v>
      </c>
      <c r="O359" s="12"/>
      <c r="P359" s="12" t="s">
        <v>25</v>
      </c>
      <c r="Q359" s="17" t="s">
        <v>139</v>
      </c>
    </row>
    <row r="360" spans="1:17" ht="24.9" customHeight="1">
      <c r="A360" s="2"/>
      <c r="B360" s="11" t="s">
        <v>1936</v>
      </c>
      <c r="C360" s="9" t="s">
        <v>1937</v>
      </c>
      <c r="D360" s="12" t="s">
        <v>1922</v>
      </c>
      <c r="E360" s="13" t="s">
        <v>1938</v>
      </c>
      <c r="F360" s="13" t="s">
        <v>1939</v>
      </c>
      <c r="G360" s="14">
        <v>420</v>
      </c>
      <c r="H360" s="14">
        <f t="shared" si="20"/>
        <v>315</v>
      </c>
      <c r="I360" s="14"/>
      <c r="J360" s="15">
        <f t="shared" si="21"/>
        <v>0</v>
      </c>
      <c r="K360" s="12" t="s">
        <v>596</v>
      </c>
      <c r="L360" s="16" t="str">
        <f t="shared" si="22"/>
        <v>9786267317877</v>
      </c>
      <c r="M360" s="29" t="str">
        <f t="shared" si="23"/>
        <v>https://search.books.com.tw/search/query/key/9786267317877</v>
      </c>
      <c r="N360" s="12" t="s">
        <v>1940</v>
      </c>
      <c r="O360" s="12"/>
      <c r="P360" s="12" t="s">
        <v>45</v>
      </c>
      <c r="Q360" s="17" t="s">
        <v>605</v>
      </c>
    </row>
    <row r="361" spans="1:17" ht="24.9" customHeight="1">
      <c r="A361" s="2"/>
      <c r="B361" s="11" t="s">
        <v>1941</v>
      </c>
      <c r="C361" s="9" t="s">
        <v>1942</v>
      </c>
      <c r="D361" s="12" t="s">
        <v>587</v>
      </c>
      <c r="E361" s="13" t="s">
        <v>1943</v>
      </c>
      <c r="F361" s="13" t="s">
        <v>1944</v>
      </c>
      <c r="G361" s="14">
        <v>380</v>
      </c>
      <c r="H361" s="14">
        <f t="shared" si="20"/>
        <v>285</v>
      </c>
      <c r="I361" s="14"/>
      <c r="J361" s="15">
        <f t="shared" si="21"/>
        <v>0</v>
      </c>
      <c r="K361" s="12" t="s">
        <v>22</v>
      </c>
      <c r="L361" s="16" t="str">
        <f t="shared" si="22"/>
        <v>9786267237847</v>
      </c>
      <c r="M361" s="29" t="str">
        <f t="shared" si="23"/>
        <v>https://search.books.com.tw/search/query/key/9786267237847</v>
      </c>
      <c r="N361" s="12" t="s">
        <v>522</v>
      </c>
      <c r="O361" s="12"/>
      <c r="P361" s="12" t="s">
        <v>45</v>
      </c>
      <c r="Q361" s="17" t="s">
        <v>523</v>
      </c>
    </row>
    <row r="362" spans="1:17" ht="24.9" customHeight="1">
      <c r="A362" s="2"/>
      <c r="B362" s="11" t="s">
        <v>1945</v>
      </c>
      <c r="C362" s="9" t="s">
        <v>1946</v>
      </c>
      <c r="D362" s="12" t="s">
        <v>1332</v>
      </c>
      <c r="E362" s="13" t="s">
        <v>1947</v>
      </c>
      <c r="F362" s="13" t="s">
        <v>1279</v>
      </c>
      <c r="G362" s="14">
        <v>350</v>
      </c>
      <c r="H362" s="14">
        <f t="shared" si="20"/>
        <v>263</v>
      </c>
      <c r="I362" s="14"/>
      <c r="J362" s="15">
        <f t="shared" si="21"/>
        <v>0</v>
      </c>
      <c r="K362" s="12" t="s">
        <v>165</v>
      </c>
      <c r="L362" s="16" t="str">
        <f t="shared" si="22"/>
        <v>9789861617459</v>
      </c>
      <c r="M362" s="29" t="str">
        <f t="shared" si="23"/>
        <v>https://search.books.com.tw/search/query/key/9789861617459</v>
      </c>
      <c r="N362" s="12" t="s">
        <v>343</v>
      </c>
      <c r="O362" s="12"/>
      <c r="P362" s="12" t="s">
        <v>45</v>
      </c>
      <c r="Q362" s="17" t="s">
        <v>523</v>
      </c>
    </row>
    <row r="363" spans="1:17" ht="24.9" customHeight="1">
      <c r="A363" s="2"/>
      <c r="B363" s="11" t="s">
        <v>1948</v>
      </c>
      <c r="C363" s="9" t="s">
        <v>1949</v>
      </c>
      <c r="D363" s="12" t="s">
        <v>1950</v>
      </c>
      <c r="E363" s="13" t="s">
        <v>1951</v>
      </c>
      <c r="F363" s="13" t="s">
        <v>1046</v>
      </c>
      <c r="G363" s="14">
        <v>350</v>
      </c>
      <c r="H363" s="14">
        <f t="shared" si="20"/>
        <v>263</v>
      </c>
      <c r="I363" s="14"/>
      <c r="J363" s="15">
        <f t="shared" si="21"/>
        <v>0</v>
      </c>
      <c r="K363" s="12" t="s">
        <v>22</v>
      </c>
      <c r="L363" s="16" t="str">
        <f t="shared" si="22"/>
        <v>9789574906130</v>
      </c>
      <c r="M363" s="29" t="str">
        <f t="shared" si="23"/>
        <v>https://search.books.com.tw/search/query/key/9789574906130</v>
      </c>
      <c r="N363" s="12" t="s">
        <v>343</v>
      </c>
      <c r="O363" s="12"/>
      <c r="P363" s="12" t="s">
        <v>73</v>
      </c>
      <c r="Q363" s="17" t="s">
        <v>1952</v>
      </c>
    </row>
    <row r="364" spans="1:17" ht="24.9" customHeight="1">
      <c r="A364" s="2"/>
      <c r="B364" s="11" t="s">
        <v>1953</v>
      </c>
      <c r="C364" s="9" t="s">
        <v>1954</v>
      </c>
      <c r="D364" s="12" t="s">
        <v>1955</v>
      </c>
      <c r="E364" s="13" t="s">
        <v>1956</v>
      </c>
      <c r="F364" s="13" t="s">
        <v>1957</v>
      </c>
      <c r="G364" s="14">
        <v>380</v>
      </c>
      <c r="H364" s="14">
        <f t="shared" si="20"/>
        <v>285</v>
      </c>
      <c r="I364" s="14"/>
      <c r="J364" s="15">
        <f t="shared" si="21"/>
        <v>0</v>
      </c>
      <c r="K364" s="12" t="s">
        <v>22</v>
      </c>
      <c r="L364" s="16" t="str">
        <f t="shared" si="22"/>
        <v>9786267632376</v>
      </c>
      <c r="M364" s="29" t="str">
        <f t="shared" si="23"/>
        <v>https://search.books.com.tw/search/query/key/9786267632376</v>
      </c>
      <c r="N364" s="12" t="s">
        <v>343</v>
      </c>
      <c r="O364" s="12"/>
      <c r="P364" s="12" t="s">
        <v>45</v>
      </c>
      <c r="Q364" s="17" t="s">
        <v>523</v>
      </c>
    </row>
    <row r="365" spans="1:17" ht="24.9" customHeight="1">
      <c r="A365" s="2"/>
      <c r="B365" s="11" t="s">
        <v>1958</v>
      </c>
      <c r="C365" s="9" t="s">
        <v>1959</v>
      </c>
      <c r="D365" s="12" t="s">
        <v>1960</v>
      </c>
      <c r="E365" s="13" t="s">
        <v>1961</v>
      </c>
      <c r="F365" s="13" t="s">
        <v>1962</v>
      </c>
      <c r="G365" s="14">
        <v>340</v>
      </c>
      <c r="H365" s="14">
        <f t="shared" si="20"/>
        <v>255</v>
      </c>
      <c r="I365" s="14"/>
      <c r="J365" s="15">
        <f t="shared" si="21"/>
        <v>0</v>
      </c>
      <c r="K365" s="12" t="s">
        <v>1963</v>
      </c>
      <c r="L365" s="16" t="str">
        <f t="shared" si="22"/>
        <v>9786267281826</v>
      </c>
      <c r="M365" s="29" t="str">
        <f t="shared" si="23"/>
        <v>https://search.books.com.tw/search/query/key/9786267281826</v>
      </c>
      <c r="N365" s="12" t="s">
        <v>343</v>
      </c>
      <c r="O365" s="12"/>
      <c r="P365" s="12" t="s">
        <v>45</v>
      </c>
      <c r="Q365" s="17" t="s">
        <v>523</v>
      </c>
    </row>
    <row r="366" spans="1:17" ht="24.9" customHeight="1">
      <c r="A366" s="2"/>
      <c r="B366" s="11" t="s">
        <v>1964</v>
      </c>
      <c r="C366" s="9" t="s">
        <v>1965</v>
      </c>
      <c r="D366" s="12" t="s">
        <v>593</v>
      </c>
      <c r="E366" s="13" t="s">
        <v>1966</v>
      </c>
      <c r="F366" s="13" t="s">
        <v>1967</v>
      </c>
      <c r="G366" s="14">
        <v>360</v>
      </c>
      <c r="H366" s="14">
        <f t="shared" si="20"/>
        <v>270</v>
      </c>
      <c r="I366" s="14"/>
      <c r="J366" s="15">
        <f t="shared" si="21"/>
        <v>0</v>
      </c>
      <c r="K366" s="12" t="s">
        <v>80</v>
      </c>
      <c r="L366" s="16" t="str">
        <f t="shared" si="22"/>
        <v>9789862944028</v>
      </c>
      <c r="M366" s="29" t="str">
        <f t="shared" si="23"/>
        <v>https://search.books.com.tw/search/query/key/9789862944028</v>
      </c>
      <c r="N366" s="12" t="s">
        <v>522</v>
      </c>
      <c r="O366" s="12"/>
      <c r="P366" s="12" t="s">
        <v>45</v>
      </c>
      <c r="Q366" s="17" t="s">
        <v>523</v>
      </c>
    </row>
    <row r="367" spans="1:17" ht="24.9" customHeight="1">
      <c r="A367" s="2"/>
      <c r="B367" s="11" t="s">
        <v>1968</v>
      </c>
      <c r="C367" s="9" t="s">
        <v>1969</v>
      </c>
      <c r="D367" s="12" t="s">
        <v>1970</v>
      </c>
      <c r="E367" s="13" t="s">
        <v>1971</v>
      </c>
      <c r="F367" s="13" t="s">
        <v>1972</v>
      </c>
      <c r="G367" s="14">
        <v>280</v>
      </c>
      <c r="H367" s="14">
        <f t="shared" si="20"/>
        <v>210</v>
      </c>
      <c r="I367" s="14"/>
      <c r="J367" s="15">
        <f t="shared" si="21"/>
        <v>0</v>
      </c>
      <c r="K367" s="12" t="s">
        <v>165</v>
      </c>
      <c r="L367" s="16" t="str">
        <f t="shared" si="22"/>
        <v>9789861615899</v>
      </c>
      <c r="M367" s="29" t="str">
        <f t="shared" si="23"/>
        <v>https://search.books.com.tw/search/query/key/9789861615899</v>
      </c>
      <c r="N367" s="12" t="s">
        <v>43</v>
      </c>
      <c r="O367" s="12"/>
      <c r="P367" s="12" t="s">
        <v>45</v>
      </c>
      <c r="Q367" s="17" t="s">
        <v>611</v>
      </c>
    </row>
    <row r="368" spans="1:17" ht="24.9" customHeight="1">
      <c r="A368" s="2"/>
      <c r="B368" s="11" t="s">
        <v>1973</v>
      </c>
      <c r="C368" s="9" t="s">
        <v>1974</v>
      </c>
      <c r="D368" s="12" t="s">
        <v>1975</v>
      </c>
      <c r="E368" s="13" t="s">
        <v>1976</v>
      </c>
      <c r="F368" s="13" t="s">
        <v>1977</v>
      </c>
      <c r="G368" s="14">
        <v>480</v>
      </c>
      <c r="H368" s="14">
        <f t="shared" si="20"/>
        <v>360</v>
      </c>
      <c r="I368" s="14"/>
      <c r="J368" s="15">
        <f t="shared" si="21"/>
        <v>0</v>
      </c>
      <c r="K368" s="12" t="s">
        <v>1978</v>
      </c>
      <c r="L368" s="16" t="str">
        <f t="shared" si="22"/>
        <v>9786263156968</v>
      </c>
      <c r="M368" s="29" t="str">
        <f t="shared" si="23"/>
        <v>https://search.books.com.tw/search/query/key/9786263156968</v>
      </c>
      <c r="N368" s="12" t="s">
        <v>33</v>
      </c>
      <c r="O368" s="12"/>
      <c r="P368" s="12" t="s">
        <v>384</v>
      </c>
      <c r="Q368" s="17" t="s">
        <v>1565</v>
      </c>
    </row>
    <row r="369" spans="1:17" ht="24.9" customHeight="1">
      <c r="A369" s="2"/>
      <c r="B369" s="11" t="s">
        <v>1979</v>
      </c>
      <c r="C369" s="9" t="s">
        <v>1980</v>
      </c>
      <c r="D369" s="12" t="s">
        <v>1981</v>
      </c>
      <c r="E369" s="13" t="s">
        <v>1982</v>
      </c>
      <c r="F369" s="13" t="s">
        <v>1983</v>
      </c>
      <c r="G369" s="14">
        <v>300</v>
      </c>
      <c r="H369" s="14">
        <f t="shared" si="20"/>
        <v>225</v>
      </c>
      <c r="I369" s="14"/>
      <c r="J369" s="15">
        <f t="shared" si="21"/>
        <v>0</v>
      </c>
      <c r="K369" s="12" t="s">
        <v>690</v>
      </c>
      <c r="L369" s="16" t="str">
        <f t="shared" si="22"/>
        <v>9789866745942</v>
      </c>
      <c r="M369" s="29" t="str">
        <f t="shared" si="23"/>
        <v>https://search.books.com.tw/search/query/key/9789866745942</v>
      </c>
      <c r="N369" s="12" t="s">
        <v>33</v>
      </c>
      <c r="O369" s="12"/>
      <c r="P369" s="12" t="s">
        <v>73</v>
      </c>
      <c r="Q369" s="17" t="s">
        <v>1984</v>
      </c>
    </row>
    <row r="370" spans="1:17" ht="24.9" customHeight="1">
      <c r="A370" s="2"/>
      <c r="B370" s="11" t="s">
        <v>1985</v>
      </c>
      <c r="C370" s="9" t="s">
        <v>1986</v>
      </c>
      <c r="D370" s="12" t="s">
        <v>417</v>
      </c>
      <c r="E370" s="13" t="s">
        <v>1987</v>
      </c>
      <c r="F370" s="13" t="s">
        <v>1988</v>
      </c>
      <c r="G370" s="14">
        <v>320</v>
      </c>
      <c r="H370" s="14">
        <f t="shared" si="20"/>
        <v>240</v>
      </c>
      <c r="I370" s="14"/>
      <c r="J370" s="15">
        <f t="shared" si="21"/>
        <v>0</v>
      </c>
      <c r="K370" s="12" t="s">
        <v>22</v>
      </c>
      <c r="L370" s="16" t="str">
        <f t="shared" si="22"/>
        <v>9786267127179</v>
      </c>
      <c r="M370" s="29" t="str">
        <f t="shared" si="23"/>
        <v>https://search.books.com.tw/search/query/key/9786267127179</v>
      </c>
      <c r="N370" s="12" t="s">
        <v>597</v>
      </c>
      <c r="O370" s="12"/>
      <c r="P370" s="12" t="s">
        <v>45</v>
      </c>
      <c r="Q370" s="17" t="s">
        <v>713</v>
      </c>
    </row>
    <row r="371" spans="1:17" ht="24.9" customHeight="1">
      <c r="A371" s="2"/>
      <c r="B371" s="11" t="s">
        <v>1989</v>
      </c>
      <c r="C371" s="9" t="s">
        <v>1990</v>
      </c>
      <c r="D371" s="12" t="s">
        <v>1991</v>
      </c>
      <c r="E371" s="13" t="s">
        <v>1992</v>
      </c>
      <c r="F371" s="13" t="s">
        <v>221</v>
      </c>
      <c r="G371" s="14">
        <v>300</v>
      </c>
      <c r="H371" s="14">
        <f t="shared" si="20"/>
        <v>225</v>
      </c>
      <c r="I371" s="14"/>
      <c r="J371" s="15">
        <f t="shared" si="21"/>
        <v>0</v>
      </c>
      <c r="K371" s="12" t="s">
        <v>216</v>
      </c>
      <c r="L371" s="16" t="str">
        <f t="shared" si="22"/>
        <v>9789863870487</v>
      </c>
      <c r="M371" s="29" t="str">
        <f t="shared" si="23"/>
        <v>https://search.books.com.tw/search/query/key/9789863870487</v>
      </c>
      <c r="N371" s="12" t="s">
        <v>33</v>
      </c>
      <c r="O371" s="12"/>
      <c r="P371" s="12" t="s">
        <v>45</v>
      </c>
      <c r="Q371" s="17" t="s">
        <v>52</v>
      </c>
    </row>
    <row r="372" spans="1:17" ht="24.9" customHeight="1">
      <c r="A372" s="2"/>
      <c r="B372" s="11" t="s">
        <v>1993</v>
      </c>
      <c r="C372" s="9" t="s">
        <v>1994</v>
      </c>
      <c r="D372" s="12" t="s">
        <v>1995</v>
      </c>
      <c r="E372" s="13" t="s">
        <v>1996</v>
      </c>
      <c r="F372" s="13" t="s">
        <v>1997</v>
      </c>
      <c r="G372" s="14">
        <v>300</v>
      </c>
      <c r="H372" s="14">
        <f t="shared" si="20"/>
        <v>225</v>
      </c>
      <c r="I372" s="14"/>
      <c r="J372" s="15">
        <f t="shared" si="21"/>
        <v>0</v>
      </c>
      <c r="K372" s="12" t="s">
        <v>22</v>
      </c>
      <c r="L372" s="16" t="str">
        <f t="shared" si="22"/>
        <v>9789862117804</v>
      </c>
      <c r="M372" s="29" t="str">
        <f t="shared" si="23"/>
        <v>https://search.books.com.tw/search/query/key/9789862117804</v>
      </c>
      <c r="N372" s="12" t="s">
        <v>43</v>
      </c>
      <c r="O372" s="12"/>
      <c r="P372" s="12" t="s">
        <v>45</v>
      </c>
      <c r="Q372" s="17" t="s">
        <v>46</v>
      </c>
    </row>
    <row r="373" spans="1:17" ht="24.9" customHeight="1">
      <c r="A373" s="2"/>
      <c r="B373" s="11" t="s">
        <v>1998</v>
      </c>
      <c r="C373" s="9" t="s">
        <v>1999</v>
      </c>
      <c r="D373" s="12" t="s">
        <v>2000</v>
      </c>
      <c r="E373" s="13" t="s">
        <v>2001</v>
      </c>
      <c r="F373" s="13" t="s">
        <v>2002</v>
      </c>
      <c r="G373" s="14">
        <v>630</v>
      </c>
      <c r="H373" s="14">
        <f t="shared" si="20"/>
        <v>473</v>
      </c>
      <c r="I373" s="14"/>
      <c r="J373" s="15">
        <f t="shared" si="21"/>
        <v>0</v>
      </c>
      <c r="K373" s="12" t="s">
        <v>596</v>
      </c>
      <c r="L373" s="16" t="str">
        <f t="shared" si="22"/>
        <v>9789865549435</v>
      </c>
      <c r="M373" s="29" t="str">
        <f t="shared" si="23"/>
        <v>https://search.books.com.tw/search/query/key/9789865549435</v>
      </c>
      <c r="N373" s="12" t="s">
        <v>43</v>
      </c>
      <c r="O373" s="12"/>
      <c r="P373" s="12" t="s">
        <v>384</v>
      </c>
      <c r="Q373" s="17" t="s">
        <v>795</v>
      </c>
    </row>
    <row r="374" spans="1:17" ht="24.9" customHeight="1">
      <c r="A374" s="2"/>
      <c r="B374" s="11" t="s">
        <v>2003</v>
      </c>
      <c r="C374" s="9" t="s">
        <v>2004</v>
      </c>
      <c r="D374" s="12" t="s">
        <v>2005</v>
      </c>
      <c r="E374" s="13" t="s">
        <v>2006</v>
      </c>
      <c r="F374" s="13" t="s">
        <v>2007</v>
      </c>
      <c r="G374" s="14">
        <v>350</v>
      </c>
      <c r="H374" s="14">
        <f t="shared" si="20"/>
        <v>263</v>
      </c>
      <c r="I374" s="14"/>
      <c r="J374" s="15">
        <f t="shared" si="21"/>
        <v>0</v>
      </c>
      <c r="K374" s="12" t="s">
        <v>349</v>
      </c>
      <c r="L374" s="16" t="str">
        <f t="shared" si="22"/>
        <v>9786264200455</v>
      </c>
      <c r="M374" s="29" t="str">
        <f t="shared" si="23"/>
        <v>https://search.books.com.tw/search/query/key/9786264200455</v>
      </c>
      <c r="N374" s="12" t="s">
        <v>522</v>
      </c>
      <c r="O374" s="12"/>
      <c r="P374" s="12" t="s">
        <v>25</v>
      </c>
      <c r="Q374" s="17" t="s">
        <v>753</v>
      </c>
    </row>
    <row r="375" spans="1:17" ht="24.9" customHeight="1">
      <c r="A375" s="2"/>
      <c r="B375" s="11" t="s">
        <v>2008</v>
      </c>
      <c r="C375" s="9" t="s">
        <v>2009</v>
      </c>
      <c r="D375" s="12" t="s">
        <v>162</v>
      </c>
      <c r="E375" s="13" t="s">
        <v>2010</v>
      </c>
      <c r="F375" s="13" t="s">
        <v>2011</v>
      </c>
      <c r="G375" s="14">
        <v>350</v>
      </c>
      <c r="H375" s="14">
        <f t="shared" si="20"/>
        <v>263</v>
      </c>
      <c r="I375" s="14"/>
      <c r="J375" s="15">
        <f t="shared" si="21"/>
        <v>0</v>
      </c>
      <c r="K375" s="12" t="s">
        <v>165</v>
      </c>
      <c r="L375" s="16" t="str">
        <f t="shared" si="22"/>
        <v>9789861617619</v>
      </c>
      <c r="M375" s="29" t="str">
        <f t="shared" si="23"/>
        <v>https://search.books.com.tw/search/query/key/9789861617619</v>
      </c>
      <c r="N375" s="12" t="s">
        <v>343</v>
      </c>
      <c r="O375" s="12"/>
      <c r="P375" s="12" t="s">
        <v>45</v>
      </c>
      <c r="Q375" s="17" t="s">
        <v>1554</v>
      </c>
    </row>
    <row r="376" spans="1:17" ht="24.9" customHeight="1">
      <c r="A376" s="2"/>
      <c r="B376" s="11" t="s">
        <v>2012</v>
      </c>
      <c r="C376" s="9" t="s">
        <v>2013</v>
      </c>
      <c r="D376" s="12" t="s">
        <v>1044</v>
      </c>
      <c r="E376" s="13" t="s">
        <v>2014</v>
      </c>
      <c r="F376" s="13" t="s">
        <v>2015</v>
      </c>
      <c r="G376" s="14">
        <v>300</v>
      </c>
      <c r="H376" s="14">
        <f t="shared" si="20"/>
        <v>225</v>
      </c>
      <c r="I376" s="14"/>
      <c r="J376" s="15">
        <f t="shared" si="21"/>
        <v>0</v>
      </c>
      <c r="K376" s="12" t="s">
        <v>80</v>
      </c>
      <c r="L376" s="16" t="str">
        <f t="shared" si="22"/>
        <v>9789865322366</v>
      </c>
      <c r="M376" s="29" t="str">
        <f t="shared" si="23"/>
        <v>https://search.books.com.tw/search/query/key/9789865322366</v>
      </c>
      <c r="N376" s="12" t="s">
        <v>43</v>
      </c>
      <c r="O376" s="12"/>
      <c r="P376" s="12" t="s">
        <v>45</v>
      </c>
      <c r="Q376" s="17" t="s">
        <v>523</v>
      </c>
    </row>
    <row r="377" spans="1:17" ht="24.9" customHeight="1">
      <c r="A377" s="2"/>
      <c r="B377" s="11" t="s">
        <v>2016</v>
      </c>
      <c r="C377" s="9" t="s">
        <v>2017</v>
      </c>
      <c r="D377" s="12"/>
      <c r="E377" s="13" t="s">
        <v>2018</v>
      </c>
      <c r="F377" s="13" t="s">
        <v>2019</v>
      </c>
      <c r="G377" s="14">
        <v>270</v>
      </c>
      <c r="H377" s="14">
        <f t="shared" si="20"/>
        <v>203</v>
      </c>
      <c r="I377" s="14"/>
      <c r="J377" s="15">
        <f t="shared" si="21"/>
        <v>0</v>
      </c>
      <c r="K377" s="12" t="s">
        <v>216</v>
      </c>
      <c r="L377" s="16" t="str">
        <f t="shared" si="22"/>
        <v>9789866377112</v>
      </c>
      <c r="M377" s="29" t="str">
        <f t="shared" si="23"/>
        <v>https://search.books.com.tw/search/query/key/9789866377112</v>
      </c>
      <c r="N377" s="12" t="s">
        <v>33</v>
      </c>
      <c r="O377" s="12"/>
      <c r="P377" s="12" t="s">
        <v>45</v>
      </c>
      <c r="Q377" s="17" t="s">
        <v>52</v>
      </c>
    </row>
    <row r="378" spans="1:17" ht="24.9" customHeight="1">
      <c r="A378" s="2"/>
      <c r="B378" s="11" t="s">
        <v>2020</v>
      </c>
      <c r="C378" s="9" t="s">
        <v>2021</v>
      </c>
      <c r="D378" s="12" t="s">
        <v>2022</v>
      </c>
      <c r="E378" s="13" t="s">
        <v>2023</v>
      </c>
      <c r="F378" s="13" t="s">
        <v>2024</v>
      </c>
      <c r="G378" s="14">
        <v>450</v>
      </c>
      <c r="H378" s="14">
        <f t="shared" si="20"/>
        <v>338</v>
      </c>
      <c r="I378" s="14"/>
      <c r="J378" s="15">
        <f t="shared" si="21"/>
        <v>0</v>
      </c>
      <c r="K378" s="12" t="s">
        <v>2025</v>
      </c>
      <c r="L378" s="16" t="str">
        <f t="shared" si="22"/>
        <v>9786267591444</v>
      </c>
      <c r="M378" s="29" t="str">
        <f t="shared" si="23"/>
        <v>https://search.books.com.tw/search/query/key/9786267591444</v>
      </c>
      <c r="N378" s="12" t="s">
        <v>33</v>
      </c>
      <c r="O378" s="12"/>
      <c r="P378" s="12" t="s">
        <v>2026</v>
      </c>
      <c r="Q378" s="17" t="s">
        <v>2027</v>
      </c>
    </row>
    <row r="379" spans="1:17" ht="24.9" customHeight="1">
      <c r="A379" s="2"/>
      <c r="B379" s="11" t="s">
        <v>2028</v>
      </c>
      <c r="C379" s="9" t="s">
        <v>2029</v>
      </c>
      <c r="D379" s="12" t="s">
        <v>2030</v>
      </c>
      <c r="E379" s="13" t="s">
        <v>2031</v>
      </c>
      <c r="F379" s="13" t="s">
        <v>1455</v>
      </c>
      <c r="G379" s="14">
        <v>360</v>
      </c>
      <c r="H379" s="14">
        <f t="shared" si="20"/>
        <v>270</v>
      </c>
      <c r="I379" s="14"/>
      <c r="J379" s="15">
        <f t="shared" si="21"/>
        <v>0</v>
      </c>
      <c r="K379" s="12" t="s">
        <v>22</v>
      </c>
      <c r="L379" s="16" t="str">
        <f t="shared" si="22"/>
        <v>9786267350683</v>
      </c>
      <c r="M379" s="29" t="str">
        <f t="shared" si="23"/>
        <v>https://search.books.com.tw/search/query/key/9786267350683</v>
      </c>
      <c r="N379" s="12" t="s">
        <v>343</v>
      </c>
      <c r="O379" s="12"/>
      <c r="P379" s="12" t="s">
        <v>45</v>
      </c>
      <c r="Q379" s="17" t="s">
        <v>523</v>
      </c>
    </row>
    <row r="380" spans="1:17" ht="24.9" customHeight="1">
      <c r="A380" s="2"/>
      <c r="B380" s="11" t="s">
        <v>2032</v>
      </c>
      <c r="C380" s="9" t="s">
        <v>2033</v>
      </c>
      <c r="D380" s="12" t="s">
        <v>2034</v>
      </c>
      <c r="E380" s="13" t="s">
        <v>2035</v>
      </c>
      <c r="F380" s="13" t="s">
        <v>1901</v>
      </c>
      <c r="G380" s="14">
        <v>350</v>
      </c>
      <c r="H380" s="14">
        <f t="shared" si="20"/>
        <v>263</v>
      </c>
      <c r="I380" s="14"/>
      <c r="J380" s="15">
        <f t="shared" si="21"/>
        <v>0</v>
      </c>
      <c r="K380" s="12" t="s">
        <v>567</v>
      </c>
      <c r="L380" s="16" t="str">
        <f t="shared" si="22"/>
        <v>9786264197465</v>
      </c>
      <c r="M380" s="29" t="str">
        <f t="shared" si="23"/>
        <v>https://search.books.com.tw/search/query/key/9786264197465</v>
      </c>
      <c r="N380" s="12" t="s">
        <v>33</v>
      </c>
      <c r="O380" s="12"/>
      <c r="P380" s="12" t="s">
        <v>25</v>
      </c>
      <c r="Q380" s="17" t="s">
        <v>684</v>
      </c>
    </row>
    <row r="381" spans="1:17" ht="24.9" customHeight="1">
      <c r="A381" s="2"/>
      <c r="B381" s="11" t="s">
        <v>2036</v>
      </c>
      <c r="C381" s="9" t="s">
        <v>2037</v>
      </c>
      <c r="D381" s="12" t="s">
        <v>2038</v>
      </c>
      <c r="E381" s="13" t="s">
        <v>2039</v>
      </c>
      <c r="F381" s="13" t="s">
        <v>2040</v>
      </c>
      <c r="G381" s="14">
        <v>400</v>
      </c>
      <c r="H381" s="14">
        <f t="shared" si="20"/>
        <v>300</v>
      </c>
      <c r="I381" s="14"/>
      <c r="J381" s="15">
        <f t="shared" si="21"/>
        <v>0</v>
      </c>
      <c r="K381" s="12" t="s">
        <v>2041</v>
      </c>
      <c r="L381" s="16" t="str">
        <f t="shared" si="22"/>
        <v>9786263518292</v>
      </c>
      <c r="M381" s="29" t="str">
        <f t="shared" si="23"/>
        <v>https://search.books.com.tw/search/query/key/9786263518292</v>
      </c>
      <c r="N381" s="12" t="s">
        <v>343</v>
      </c>
      <c r="O381" s="12"/>
      <c r="P381" s="12" t="s">
        <v>45</v>
      </c>
      <c r="Q381" s="17" t="s">
        <v>239</v>
      </c>
    </row>
    <row r="382" spans="1:17" ht="24.9" customHeight="1">
      <c r="A382" s="2"/>
      <c r="B382" s="11" t="s">
        <v>2042</v>
      </c>
      <c r="C382" s="9" t="s">
        <v>2043</v>
      </c>
      <c r="D382" s="12" t="s">
        <v>2044</v>
      </c>
      <c r="E382" s="13" t="s">
        <v>2045</v>
      </c>
      <c r="F382" s="13" t="s">
        <v>1229</v>
      </c>
      <c r="G382" s="14">
        <v>480</v>
      </c>
      <c r="H382" s="14">
        <f t="shared" si="20"/>
        <v>360</v>
      </c>
      <c r="I382" s="14"/>
      <c r="J382" s="15">
        <f t="shared" si="21"/>
        <v>0</v>
      </c>
      <c r="K382" s="12" t="s">
        <v>1674</v>
      </c>
      <c r="L382" s="16" t="str">
        <f t="shared" si="22"/>
        <v>9786267811498</v>
      </c>
      <c r="M382" s="29" t="str">
        <f t="shared" si="23"/>
        <v>https://search.books.com.tw/search/query/key/9786267811498</v>
      </c>
      <c r="N382" s="12" t="s">
        <v>33</v>
      </c>
      <c r="O382" s="12"/>
      <c r="P382" s="12" t="s">
        <v>25</v>
      </c>
      <c r="Q382" s="17" t="s">
        <v>1799</v>
      </c>
    </row>
    <row r="383" spans="1:17" ht="24.9" customHeight="1">
      <c r="A383" s="2"/>
      <c r="B383" s="11" t="s">
        <v>2046</v>
      </c>
      <c r="C383" s="9" t="s">
        <v>2047</v>
      </c>
      <c r="D383" s="12" t="s">
        <v>2048</v>
      </c>
      <c r="E383" s="13" t="s">
        <v>2049</v>
      </c>
      <c r="F383" s="13" t="s">
        <v>2050</v>
      </c>
      <c r="G383" s="14">
        <v>360</v>
      </c>
      <c r="H383" s="14">
        <f t="shared" si="20"/>
        <v>270</v>
      </c>
      <c r="I383" s="14"/>
      <c r="J383" s="15">
        <f t="shared" si="21"/>
        <v>0</v>
      </c>
      <c r="K383" s="12" t="s">
        <v>1431</v>
      </c>
      <c r="L383" s="16" t="str">
        <f t="shared" si="22"/>
        <v>9789574907731</v>
      </c>
      <c r="M383" s="29" t="str">
        <f t="shared" si="23"/>
        <v>https://search.books.com.tw/search/query/key/9789574907731</v>
      </c>
      <c r="N383" s="12" t="s">
        <v>343</v>
      </c>
      <c r="O383" s="12"/>
      <c r="P383" s="12" t="s">
        <v>45</v>
      </c>
      <c r="Q383" s="17" t="s">
        <v>2051</v>
      </c>
    </row>
    <row r="384" spans="1:17" ht="24.9" customHeight="1">
      <c r="A384" s="2"/>
      <c r="B384" s="11" t="s">
        <v>2052</v>
      </c>
      <c r="C384" s="9" t="s">
        <v>2053</v>
      </c>
      <c r="D384" s="12" t="s">
        <v>2054</v>
      </c>
      <c r="E384" s="13" t="s">
        <v>2055</v>
      </c>
      <c r="F384" s="13" t="s">
        <v>2056</v>
      </c>
      <c r="G384" s="14">
        <v>580</v>
      </c>
      <c r="H384" s="14">
        <f t="shared" si="20"/>
        <v>435</v>
      </c>
      <c r="I384" s="14"/>
      <c r="J384" s="15">
        <f t="shared" si="21"/>
        <v>0</v>
      </c>
      <c r="K384" s="12" t="s">
        <v>2057</v>
      </c>
      <c r="L384" s="16" t="str">
        <f t="shared" si="22"/>
        <v>9786269797448</v>
      </c>
      <c r="M384" s="29" t="str">
        <f t="shared" si="23"/>
        <v>https://search.books.com.tw/search/query/key/9786269797448</v>
      </c>
      <c r="N384" s="12" t="s">
        <v>33</v>
      </c>
      <c r="O384" s="12"/>
      <c r="P384" s="12" t="s">
        <v>25</v>
      </c>
      <c r="Q384" s="17" t="s">
        <v>26</v>
      </c>
    </row>
    <row r="385" spans="1:17" ht="24.9" customHeight="1">
      <c r="A385" s="2"/>
      <c r="B385" s="11" t="s">
        <v>2058</v>
      </c>
      <c r="C385" s="9" t="s">
        <v>2059</v>
      </c>
      <c r="D385" s="12" t="s">
        <v>519</v>
      </c>
      <c r="E385" s="13" t="s">
        <v>2060</v>
      </c>
      <c r="F385" s="13" t="s">
        <v>2061</v>
      </c>
      <c r="G385" s="14">
        <v>320</v>
      </c>
      <c r="H385" s="14">
        <f t="shared" si="20"/>
        <v>240</v>
      </c>
      <c r="I385" s="14"/>
      <c r="J385" s="15">
        <f t="shared" si="21"/>
        <v>0</v>
      </c>
      <c r="K385" s="12" t="s">
        <v>42</v>
      </c>
      <c r="L385" s="16" t="str">
        <f t="shared" si="22"/>
        <v>9789570875003</v>
      </c>
      <c r="M385" s="29" t="str">
        <f t="shared" si="23"/>
        <v>https://search.books.com.tw/search/query/key/9789570875003</v>
      </c>
      <c r="N385" s="12" t="s">
        <v>522</v>
      </c>
      <c r="O385" s="12"/>
      <c r="P385" s="12" t="s">
        <v>45</v>
      </c>
      <c r="Q385" s="17" t="s">
        <v>523</v>
      </c>
    </row>
    <row r="386" spans="1:17" ht="24.9" customHeight="1">
      <c r="A386" s="2"/>
      <c r="B386" s="11" t="s">
        <v>2062</v>
      </c>
      <c r="C386" s="9" t="s">
        <v>2063</v>
      </c>
      <c r="D386" s="12" t="s">
        <v>2064</v>
      </c>
      <c r="E386" s="13" t="s">
        <v>2065</v>
      </c>
      <c r="F386" s="13" t="s">
        <v>1924</v>
      </c>
      <c r="G386" s="14">
        <v>380</v>
      </c>
      <c r="H386" s="14">
        <f t="shared" ref="H386:H449" si="24">ROUND(G386*75%,0)</f>
        <v>285</v>
      </c>
      <c r="I386" s="14"/>
      <c r="J386" s="15">
        <f t="shared" ref="J386:J449" si="25">H386*I386</f>
        <v>0</v>
      </c>
      <c r="K386" s="12" t="s">
        <v>2066</v>
      </c>
      <c r="L386" s="16" t="str">
        <f t="shared" ref="L386:L449" si="26">HYPERLINK(M386,E386)</f>
        <v>9786267064832</v>
      </c>
      <c r="M386" s="29" t="str">
        <f t="shared" ref="M386:M449" si="27">"https://search.books.com.tw/search/query/key/"&amp;E386</f>
        <v>https://search.books.com.tw/search/query/key/9786267064832</v>
      </c>
      <c r="N386" s="12" t="s">
        <v>33</v>
      </c>
      <c r="O386" s="12"/>
      <c r="P386" s="12" t="s">
        <v>35</v>
      </c>
      <c r="Q386" s="17" t="s">
        <v>706</v>
      </c>
    </row>
    <row r="387" spans="1:17" ht="24.9" customHeight="1">
      <c r="A387" s="2"/>
      <c r="B387" s="11" t="s">
        <v>2067</v>
      </c>
      <c r="C387" s="9" t="s">
        <v>2068</v>
      </c>
      <c r="D387" s="12" t="s">
        <v>2069</v>
      </c>
      <c r="E387" s="13" t="s">
        <v>2070</v>
      </c>
      <c r="F387" s="13" t="s">
        <v>2071</v>
      </c>
      <c r="G387" s="14">
        <v>360</v>
      </c>
      <c r="H387" s="14">
        <f t="shared" si="24"/>
        <v>270</v>
      </c>
      <c r="I387" s="14"/>
      <c r="J387" s="15">
        <f t="shared" si="25"/>
        <v>0</v>
      </c>
      <c r="K387" s="12" t="s">
        <v>125</v>
      </c>
      <c r="L387" s="16" t="str">
        <f t="shared" si="26"/>
        <v>9789864507252</v>
      </c>
      <c r="M387" s="29" t="str">
        <f t="shared" si="27"/>
        <v>https://search.books.com.tw/search/query/key/9789864507252</v>
      </c>
      <c r="N387" s="12" t="s">
        <v>23</v>
      </c>
      <c r="O387" s="12"/>
      <c r="P387" s="12" t="s">
        <v>45</v>
      </c>
      <c r="Q387" s="17" t="s">
        <v>1925</v>
      </c>
    </row>
    <row r="388" spans="1:17" ht="24.9" customHeight="1">
      <c r="A388" s="2"/>
      <c r="B388" s="11" t="s">
        <v>2072</v>
      </c>
      <c r="C388" s="9" t="s">
        <v>2073</v>
      </c>
      <c r="D388" s="12" t="s">
        <v>2074</v>
      </c>
      <c r="E388" s="13" t="s">
        <v>2075</v>
      </c>
      <c r="F388" s="13" t="s">
        <v>2076</v>
      </c>
      <c r="G388" s="14">
        <v>1050</v>
      </c>
      <c r="H388" s="14">
        <f t="shared" si="24"/>
        <v>788</v>
      </c>
      <c r="I388" s="14"/>
      <c r="J388" s="15">
        <f t="shared" si="25"/>
        <v>0</v>
      </c>
      <c r="K388" s="12" t="s">
        <v>2077</v>
      </c>
      <c r="L388" s="16" t="str">
        <f t="shared" si="26"/>
        <v>4711720010045</v>
      </c>
      <c r="M388" s="29" t="str">
        <f t="shared" si="27"/>
        <v>https://search.books.com.tw/search/query/key/4711720010045</v>
      </c>
      <c r="N388" s="12" t="s">
        <v>343</v>
      </c>
      <c r="O388" s="12"/>
      <c r="P388" s="12" t="s">
        <v>45</v>
      </c>
      <c r="Q388" s="17" t="s">
        <v>1318</v>
      </c>
    </row>
    <row r="389" spans="1:17" ht="24.9" customHeight="1">
      <c r="A389" s="2"/>
      <c r="B389" s="11" t="s">
        <v>2078</v>
      </c>
      <c r="C389" s="9" t="s">
        <v>2079</v>
      </c>
      <c r="D389" s="12" t="s">
        <v>2080</v>
      </c>
      <c r="E389" s="13" t="s">
        <v>2081</v>
      </c>
      <c r="F389" s="13" t="s">
        <v>2082</v>
      </c>
      <c r="G389" s="14">
        <v>480</v>
      </c>
      <c r="H389" s="14">
        <f t="shared" si="24"/>
        <v>360</v>
      </c>
      <c r="I389" s="14"/>
      <c r="J389" s="15">
        <f t="shared" si="25"/>
        <v>0</v>
      </c>
      <c r="K389" s="12" t="s">
        <v>2083</v>
      </c>
      <c r="L389" s="16" t="str">
        <f t="shared" si="26"/>
        <v>9786269802890</v>
      </c>
      <c r="M389" s="29" t="str">
        <f t="shared" si="27"/>
        <v>https://search.books.com.tw/search/query/key/9786269802890</v>
      </c>
      <c r="N389" s="12" t="s">
        <v>33</v>
      </c>
      <c r="O389" s="12"/>
      <c r="P389" s="12" t="s">
        <v>25</v>
      </c>
      <c r="Q389" s="17" t="s">
        <v>26</v>
      </c>
    </row>
    <row r="390" spans="1:17" ht="24.9" customHeight="1">
      <c r="A390" s="2"/>
      <c r="B390" s="11" t="s">
        <v>2084</v>
      </c>
      <c r="C390" s="9" t="s">
        <v>2085</v>
      </c>
      <c r="D390" s="12" t="s">
        <v>2086</v>
      </c>
      <c r="E390" s="13" t="s">
        <v>2087</v>
      </c>
      <c r="F390" s="13" t="s">
        <v>2088</v>
      </c>
      <c r="G390" s="14">
        <v>270</v>
      </c>
      <c r="H390" s="14">
        <f t="shared" si="24"/>
        <v>203</v>
      </c>
      <c r="I390" s="14"/>
      <c r="J390" s="15">
        <f t="shared" si="25"/>
        <v>0</v>
      </c>
      <c r="K390" s="12" t="s">
        <v>1674</v>
      </c>
      <c r="L390" s="16" t="str">
        <f t="shared" si="26"/>
        <v>9786267811412</v>
      </c>
      <c r="M390" s="29" t="str">
        <f t="shared" si="27"/>
        <v>https://search.books.com.tw/search/query/key/9786267811412</v>
      </c>
      <c r="N390" s="12" t="s">
        <v>33</v>
      </c>
      <c r="O390" s="12"/>
      <c r="P390" s="12" t="s">
        <v>35</v>
      </c>
      <c r="Q390" s="17" t="s">
        <v>368</v>
      </c>
    </row>
    <row r="391" spans="1:17" ht="24.9" customHeight="1">
      <c r="A391" s="2"/>
      <c r="B391" s="11" t="s">
        <v>2089</v>
      </c>
      <c r="C391" s="9" t="s">
        <v>2090</v>
      </c>
      <c r="D391" s="12" t="s">
        <v>417</v>
      </c>
      <c r="E391" s="13" t="s">
        <v>2091</v>
      </c>
      <c r="F391" s="13" t="s">
        <v>1957</v>
      </c>
      <c r="G391" s="14">
        <v>360</v>
      </c>
      <c r="H391" s="14">
        <f t="shared" si="24"/>
        <v>270</v>
      </c>
      <c r="I391" s="14"/>
      <c r="J391" s="15">
        <f t="shared" si="25"/>
        <v>0</v>
      </c>
      <c r="K391" s="12" t="s">
        <v>22</v>
      </c>
      <c r="L391" s="16" t="str">
        <f t="shared" si="26"/>
        <v>9786267632154</v>
      </c>
      <c r="M391" s="29" t="str">
        <f t="shared" si="27"/>
        <v>https://search.books.com.tw/search/query/key/9786267632154</v>
      </c>
      <c r="N391" s="12" t="s">
        <v>522</v>
      </c>
      <c r="O391" s="12"/>
      <c r="P391" s="12" t="s">
        <v>45</v>
      </c>
      <c r="Q391" s="17" t="s">
        <v>713</v>
      </c>
    </row>
    <row r="392" spans="1:17" ht="24.9" customHeight="1">
      <c r="A392" s="2"/>
      <c r="B392" s="11" t="s">
        <v>2092</v>
      </c>
      <c r="C392" s="9"/>
      <c r="D392" s="12"/>
      <c r="E392" s="13"/>
      <c r="F392" s="13"/>
      <c r="G392" s="14"/>
      <c r="H392" s="14">
        <f t="shared" si="24"/>
        <v>0</v>
      </c>
      <c r="I392" s="14"/>
      <c r="J392" s="15">
        <f t="shared" si="25"/>
        <v>0</v>
      </c>
      <c r="K392" s="12"/>
      <c r="L392" s="16">
        <f t="shared" si="26"/>
        <v>0</v>
      </c>
      <c r="M392" s="29" t="str">
        <f t="shared" si="27"/>
        <v>https://search.books.com.tw/search/query/key/</v>
      </c>
      <c r="N392" s="12"/>
      <c r="O392" s="12"/>
      <c r="P392" s="12"/>
      <c r="Q392" s="17" t="s">
        <v>523</v>
      </c>
    </row>
    <row r="393" spans="1:17" ht="24.9" customHeight="1">
      <c r="A393" s="2"/>
      <c r="B393" s="11" t="s">
        <v>2093</v>
      </c>
      <c r="C393" s="9" t="s">
        <v>2094</v>
      </c>
      <c r="D393" s="12" t="s">
        <v>2095</v>
      </c>
      <c r="E393" s="13" t="s">
        <v>2096</v>
      </c>
      <c r="F393" s="13" t="s">
        <v>1430</v>
      </c>
      <c r="G393" s="14">
        <v>360</v>
      </c>
      <c r="H393" s="14">
        <f t="shared" si="24"/>
        <v>270</v>
      </c>
      <c r="I393" s="14"/>
      <c r="J393" s="15">
        <f t="shared" si="25"/>
        <v>0</v>
      </c>
      <c r="K393" s="12" t="s">
        <v>22</v>
      </c>
      <c r="L393" s="16" t="str">
        <f t="shared" si="26"/>
        <v>9786267883143</v>
      </c>
      <c r="M393" s="29" t="str">
        <f t="shared" si="27"/>
        <v>https://search.books.com.tw/search/query/key/9786267883143</v>
      </c>
      <c r="N393" s="12" t="s">
        <v>343</v>
      </c>
      <c r="O393" s="12"/>
      <c r="P393" s="12" t="s">
        <v>45</v>
      </c>
      <c r="Q393" s="17" t="s">
        <v>2051</v>
      </c>
    </row>
    <row r="394" spans="1:17" ht="24.9" customHeight="1">
      <c r="A394" s="2"/>
      <c r="B394" s="11" t="s">
        <v>2097</v>
      </c>
      <c r="C394" s="9" t="s">
        <v>2098</v>
      </c>
      <c r="D394" s="12" t="s">
        <v>2099</v>
      </c>
      <c r="E394" s="13" t="s">
        <v>2100</v>
      </c>
      <c r="F394" s="13" t="s">
        <v>2101</v>
      </c>
      <c r="G394" s="14">
        <v>350</v>
      </c>
      <c r="H394" s="14">
        <f t="shared" si="24"/>
        <v>263</v>
      </c>
      <c r="I394" s="14"/>
      <c r="J394" s="15">
        <f t="shared" si="25"/>
        <v>0</v>
      </c>
      <c r="K394" s="12" t="s">
        <v>22</v>
      </c>
      <c r="L394" s="16" t="str">
        <f t="shared" si="26"/>
        <v>9789865513085</v>
      </c>
      <c r="M394" s="29" t="str">
        <f t="shared" si="27"/>
        <v>https://search.books.com.tw/search/query/key/9789865513085</v>
      </c>
      <c r="N394" s="12" t="s">
        <v>43</v>
      </c>
      <c r="O394" s="12"/>
      <c r="P394" s="12" t="s">
        <v>45</v>
      </c>
      <c r="Q394" s="17" t="s">
        <v>2102</v>
      </c>
    </row>
    <row r="395" spans="1:17" ht="24.9" customHeight="1">
      <c r="A395" s="2"/>
      <c r="B395" s="11" t="s">
        <v>2103</v>
      </c>
      <c r="C395" s="9" t="s">
        <v>2104</v>
      </c>
      <c r="D395" s="12" t="s">
        <v>2105</v>
      </c>
      <c r="E395" s="13" t="s">
        <v>2106</v>
      </c>
      <c r="F395" s="13" t="s">
        <v>2107</v>
      </c>
      <c r="G395" s="14">
        <v>379</v>
      </c>
      <c r="H395" s="14">
        <f t="shared" si="24"/>
        <v>284</v>
      </c>
      <c r="I395" s="14"/>
      <c r="J395" s="15">
        <f t="shared" si="25"/>
        <v>0</v>
      </c>
      <c r="K395" s="12" t="s">
        <v>1907</v>
      </c>
      <c r="L395" s="16" t="str">
        <f t="shared" si="26"/>
        <v>9786267544174</v>
      </c>
      <c r="M395" s="29" t="str">
        <f t="shared" si="27"/>
        <v>https://search.books.com.tw/search/query/key/9786267544174</v>
      </c>
      <c r="N395" s="12" t="s">
        <v>33</v>
      </c>
      <c r="O395" s="12"/>
      <c r="P395" s="12" t="s">
        <v>45</v>
      </c>
      <c r="Q395" s="17" t="s">
        <v>283</v>
      </c>
    </row>
    <row r="396" spans="1:17" ht="24.9" customHeight="1">
      <c r="A396" s="2"/>
      <c r="B396" s="11" t="s">
        <v>2108</v>
      </c>
      <c r="C396" s="9" t="s">
        <v>2109</v>
      </c>
      <c r="D396" s="12" t="s">
        <v>2110</v>
      </c>
      <c r="E396" s="13" t="s">
        <v>2111</v>
      </c>
      <c r="F396" s="13" t="s">
        <v>1523</v>
      </c>
      <c r="G396" s="14">
        <v>349</v>
      </c>
      <c r="H396" s="14">
        <f t="shared" si="24"/>
        <v>262</v>
      </c>
      <c r="I396" s="14"/>
      <c r="J396" s="15">
        <f t="shared" si="25"/>
        <v>0</v>
      </c>
      <c r="K396" s="12" t="s">
        <v>1907</v>
      </c>
      <c r="L396" s="16" t="str">
        <f t="shared" si="26"/>
        <v>9786267418376</v>
      </c>
      <c r="M396" s="29" t="str">
        <f t="shared" si="27"/>
        <v>https://search.books.com.tw/search/query/key/9786267418376</v>
      </c>
      <c r="N396" s="12" t="s">
        <v>43</v>
      </c>
      <c r="O396" s="12"/>
      <c r="P396" s="12" t="s">
        <v>45</v>
      </c>
      <c r="Q396" s="17" t="s">
        <v>1908</v>
      </c>
    </row>
    <row r="397" spans="1:17" ht="24.9" customHeight="1">
      <c r="A397" s="2"/>
      <c r="B397" s="11" t="s">
        <v>2112</v>
      </c>
      <c r="C397" s="9" t="s">
        <v>2113</v>
      </c>
      <c r="D397" s="12" t="s">
        <v>502</v>
      </c>
      <c r="E397" s="13" t="s">
        <v>2114</v>
      </c>
      <c r="F397" s="13" t="s">
        <v>2115</v>
      </c>
      <c r="G397" s="14">
        <v>599</v>
      </c>
      <c r="H397" s="14">
        <f t="shared" si="24"/>
        <v>449</v>
      </c>
      <c r="I397" s="14"/>
      <c r="J397" s="15">
        <f t="shared" si="25"/>
        <v>0</v>
      </c>
      <c r="K397" s="12" t="s">
        <v>337</v>
      </c>
      <c r="L397" s="16" t="str">
        <f t="shared" si="26"/>
        <v>9789865253080</v>
      </c>
      <c r="M397" s="29" t="str">
        <f t="shared" si="27"/>
        <v>https://search.books.com.tw/search/query/key/9789865253080</v>
      </c>
      <c r="N397" s="12" t="s">
        <v>343</v>
      </c>
      <c r="O397" s="12"/>
      <c r="P397" s="12" t="s">
        <v>35</v>
      </c>
      <c r="Q397" s="17" t="s">
        <v>36</v>
      </c>
    </row>
    <row r="398" spans="1:17" ht="24.9" customHeight="1">
      <c r="A398" s="2"/>
      <c r="B398" s="11" t="s">
        <v>2116</v>
      </c>
      <c r="C398" s="9" t="s">
        <v>2117</v>
      </c>
      <c r="D398" s="12" t="s">
        <v>2118</v>
      </c>
      <c r="E398" s="13" t="s">
        <v>2119</v>
      </c>
      <c r="F398" s="13" t="s">
        <v>2120</v>
      </c>
      <c r="G398" s="14">
        <v>390</v>
      </c>
      <c r="H398" s="14">
        <f t="shared" si="24"/>
        <v>293</v>
      </c>
      <c r="I398" s="14"/>
      <c r="J398" s="15">
        <f t="shared" si="25"/>
        <v>0</v>
      </c>
      <c r="K398" s="12" t="s">
        <v>232</v>
      </c>
      <c r="L398" s="16" t="str">
        <f t="shared" si="26"/>
        <v>9786269684175</v>
      </c>
      <c r="M398" s="29" t="str">
        <f t="shared" si="27"/>
        <v>https://search.books.com.tw/search/query/key/9786269684175</v>
      </c>
      <c r="N398" s="12" t="s">
        <v>597</v>
      </c>
      <c r="O398" s="12"/>
      <c r="P398" s="12" t="s">
        <v>45</v>
      </c>
      <c r="Q398" s="17" t="s">
        <v>1914</v>
      </c>
    </row>
    <row r="399" spans="1:17" ht="24.9" customHeight="1">
      <c r="A399" s="2"/>
      <c r="B399" s="11" t="s">
        <v>2121</v>
      </c>
      <c r="C399" s="9" t="s">
        <v>2122</v>
      </c>
      <c r="D399" s="12" t="s">
        <v>2123</v>
      </c>
      <c r="E399" s="13" t="s">
        <v>2124</v>
      </c>
      <c r="F399" s="13" t="s">
        <v>1884</v>
      </c>
      <c r="G399" s="14">
        <v>280</v>
      </c>
      <c r="H399" s="14">
        <f t="shared" si="24"/>
        <v>210</v>
      </c>
      <c r="I399" s="14"/>
      <c r="J399" s="15">
        <f t="shared" si="25"/>
        <v>0</v>
      </c>
      <c r="K399" s="12" t="s">
        <v>125</v>
      </c>
      <c r="L399" s="16" t="str">
        <f t="shared" si="26"/>
        <v>9789864503421</v>
      </c>
      <c r="M399" s="29" t="str">
        <f t="shared" si="27"/>
        <v>https://search.books.com.tw/search/query/key/9789864503421</v>
      </c>
      <c r="N399" s="12" t="s">
        <v>23</v>
      </c>
      <c r="O399" s="12"/>
      <c r="P399" s="12" t="s">
        <v>45</v>
      </c>
      <c r="Q399" s="17" t="s">
        <v>1885</v>
      </c>
    </row>
    <row r="400" spans="1:17" ht="24.9" customHeight="1">
      <c r="A400" s="2"/>
      <c r="B400" s="11" t="s">
        <v>2125</v>
      </c>
      <c r="C400" s="9" t="s">
        <v>2126</v>
      </c>
      <c r="D400" s="12" t="s">
        <v>2127</v>
      </c>
      <c r="E400" s="13" t="s">
        <v>2128</v>
      </c>
      <c r="F400" s="13" t="s">
        <v>2129</v>
      </c>
      <c r="G400" s="14">
        <v>490</v>
      </c>
      <c r="H400" s="14">
        <f t="shared" si="24"/>
        <v>368</v>
      </c>
      <c r="I400" s="14"/>
      <c r="J400" s="15">
        <f t="shared" si="25"/>
        <v>0</v>
      </c>
      <c r="K400" s="12" t="s">
        <v>2130</v>
      </c>
      <c r="L400" s="16" t="str">
        <f t="shared" si="26"/>
        <v>9786269633074</v>
      </c>
      <c r="M400" s="29" t="str">
        <f t="shared" si="27"/>
        <v>https://search.books.com.tw/search/query/key/9786269633074</v>
      </c>
      <c r="N400" s="12" t="s">
        <v>33</v>
      </c>
      <c r="O400" s="12"/>
      <c r="P400" s="12" t="s">
        <v>35</v>
      </c>
      <c r="Q400" s="17" t="s">
        <v>198</v>
      </c>
    </row>
    <row r="401" spans="1:17" ht="24.9" customHeight="1">
      <c r="A401" s="2"/>
      <c r="B401" s="11" t="s">
        <v>2131</v>
      </c>
      <c r="C401" s="9" t="s">
        <v>2132</v>
      </c>
      <c r="D401" s="12" t="s">
        <v>2133</v>
      </c>
      <c r="E401" s="13" t="s">
        <v>2134</v>
      </c>
      <c r="F401" s="13" t="s">
        <v>2135</v>
      </c>
      <c r="G401" s="14">
        <v>380</v>
      </c>
      <c r="H401" s="14">
        <f t="shared" si="24"/>
        <v>285</v>
      </c>
      <c r="I401" s="14"/>
      <c r="J401" s="15">
        <f t="shared" si="25"/>
        <v>0</v>
      </c>
      <c r="K401" s="12" t="s">
        <v>132</v>
      </c>
      <c r="L401" s="16" t="str">
        <f t="shared" si="26"/>
        <v>9789868143920</v>
      </c>
      <c r="M401" s="29" t="str">
        <f t="shared" si="27"/>
        <v>https://search.books.com.tw/search/query/key/9789868143920</v>
      </c>
      <c r="N401" s="12" t="s">
        <v>33</v>
      </c>
      <c r="O401" s="12"/>
      <c r="P401" s="12" t="s">
        <v>35</v>
      </c>
      <c r="Q401" s="17" t="s">
        <v>1492</v>
      </c>
    </row>
    <row r="402" spans="1:17" ht="24.9" customHeight="1">
      <c r="A402" s="2"/>
      <c r="B402" s="11" t="s">
        <v>2136</v>
      </c>
      <c r="C402" s="9" t="s">
        <v>2137</v>
      </c>
      <c r="D402" s="12" t="s">
        <v>1928</v>
      </c>
      <c r="E402" s="13" t="s">
        <v>2138</v>
      </c>
      <c r="F402" s="13" t="s">
        <v>2139</v>
      </c>
      <c r="G402" s="14">
        <v>350</v>
      </c>
      <c r="H402" s="14">
        <f t="shared" si="24"/>
        <v>263</v>
      </c>
      <c r="I402" s="14"/>
      <c r="J402" s="15">
        <f t="shared" si="25"/>
        <v>0</v>
      </c>
      <c r="K402" s="12" t="s">
        <v>22</v>
      </c>
      <c r="L402" s="16" t="str">
        <f t="shared" si="26"/>
        <v>9789865566623</v>
      </c>
      <c r="M402" s="29" t="str">
        <f t="shared" si="27"/>
        <v>https://search.books.com.tw/search/query/key/9789865566623</v>
      </c>
      <c r="N402" s="12" t="s">
        <v>522</v>
      </c>
      <c r="O402" s="12"/>
      <c r="P402" s="12" t="s">
        <v>45</v>
      </c>
      <c r="Q402" s="17" t="s">
        <v>1340</v>
      </c>
    </row>
    <row r="403" spans="1:17" ht="24.9" customHeight="1">
      <c r="A403" s="2"/>
      <c r="B403" s="11" t="s">
        <v>2140</v>
      </c>
      <c r="C403" s="9" t="s">
        <v>2141</v>
      </c>
      <c r="D403" s="12" t="s">
        <v>1960</v>
      </c>
      <c r="E403" s="13" t="s">
        <v>2142</v>
      </c>
      <c r="F403" s="13" t="s">
        <v>1967</v>
      </c>
      <c r="G403" s="14">
        <v>360</v>
      </c>
      <c r="H403" s="14">
        <f t="shared" si="24"/>
        <v>270</v>
      </c>
      <c r="I403" s="14"/>
      <c r="J403" s="15">
        <f t="shared" si="25"/>
        <v>0</v>
      </c>
      <c r="K403" s="12" t="s">
        <v>80</v>
      </c>
      <c r="L403" s="16" t="str">
        <f t="shared" si="26"/>
        <v>9789862944035</v>
      </c>
      <c r="M403" s="29" t="str">
        <f t="shared" si="27"/>
        <v>https://search.books.com.tw/search/query/key/9789862944035</v>
      </c>
      <c r="N403" s="12" t="s">
        <v>522</v>
      </c>
      <c r="O403" s="12"/>
      <c r="P403" s="12" t="s">
        <v>45</v>
      </c>
      <c r="Q403" s="17" t="s">
        <v>523</v>
      </c>
    </row>
    <row r="404" spans="1:17" ht="24.9" customHeight="1">
      <c r="A404" s="2"/>
      <c r="B404" s="11" t="s">
        <v>2143</v>
      </c>
      <c r="C404" s="9" t="s">
        <v>2144</v>
      </c>
      <c r="D404" s="12" t="s">
        <v>1026</v>
      </c>
      <c r="E404" s="13" t="s">
        <v>2145</v>
      </c>
      <c r="F404" s="13" t="s">
        <v>2146</v>
      </c>
      <c r="G404" s="14">
        <v>350</v>
      </c>
      <c r="H404" s="14">
        <f t="shared" si="24"/>
        <v>263</v>
      </c>
      <c r="I404" s="14"/>
      <c r="J404" s="15">
        <f t="shared" si="25"/>
        <v>0</v>
      </c>
      <c r="K404" s="12" t="s">
        <v>42</v>
      </c>
      <c r="L404" s="16" t="str">
        <f t="shared" si="26"/>
        <v>9789570874846</v>
      </c>
      <c r="M404" s="29" t="str">
        <f t="shared" si="27"/>
        <v>https://search.books.com.tw/search/query/key/9789570874846</v>
      </c>
      <c r="N404" s="12" t="s">
        <v>343</v>
      </c>
      <c r="O404" s="12"/>
      <c r="P404" s="12" t="s">
        <v>45</v>
      </c>
      <c r="Q404" s="17" t="s">
        <v>239</v>
      </c>
    </row>
    <row r="405" spans="1:17" ht="24.9" customHeight="1">
      <c r="A405" s="2"/>
      <c r="B405" s="11" t="s">
        <v>2147</v>
      </c>
      <c r="C405" s="9" t="s">
        <v>2148</v>
      </c>
      <c r="D405" s="12" t="s">
        <v>2149</v>
      </c>
      <c r="E405" s="13" t="s">
        <v>2150</v>
      </c>
      <c r="F405" s="13" t="s">
        <v>2151</v>
      </c>
      <c r="G405" s="14">
        <v>280</v>
      </c>
      <c r="H405" s="14">
        <f t="shared" si="24"/>
        <v>210</v>
      </c>
      <c r="I405" s="14"/>
      <c r="J405" s="15">
        <f t="shared" si="25"/>
        <v>0</v>
      </c>
      <c r="K405" s="12" t="s">
        <v>22</v>
      </c>
      <c r="L405" s="16" t="str">
        <f t="shared" si="26"/>
        <v>9789862112137</v>
      </c>
      <c r="M405" s="29" t="str">
        <f t="shared" si="27"/>
        <v>https://search.books.com.tw/search/query/key/9789862112137</v>
      </c>
      <c r="N405" s="12" t="s">
        <v>43</v>
      </c>
      <c r="O405" s="12"/>
      <c r="P405" s="12" t="s">
        <v>45</v>
      </c>
      <c r="Q405" s="17" t="s">
        <v>605</v>
      </c>
    </row>
    <row r="406" spans="1:17" ht="24.9" customHeight="1">
      <c r="A406" s="2"/>
      <c r="B406" s="11" t="s">
        <v>2152</v>
      </c>
      <c r="C406" s="9" t="s">
        <v>2153</v>
      </c>
      <c r="D406" s="12" t="s">
        <v>2154</v>
      </c>
      <c r="E406" s="13" t="s">
        <v>2155</v>
      </c>
      <c r="F406" s="13" t="s">
        <v>2156</v>
      </c>
      <c r="G406" s="14">
        <v>780</v>
      </c>
      <c r="H406" s="14">
        <f t="shared" si="24"/>
        <v>585</v>
      </c>
      <c r="I406" s="14"/>
      <c r="J406" s="15">
        <f t="shared" si="25"/>
        <v>0</v>
      </c>
      <c r="K406" s="12" t="s">
        <v>704</v>
      </c>
      <c r="L406" s="16" t="str">
        <f t="shared" si="26"/>
        <v>9786263909540</v>
      </c>
      <c r="M406" s="29" t="str">
        <f t="shared" si="27"/>
        <v>https://search.books.com.tw/search/query/key/9786263909540</v>
      </c>
      <c r="N406" s="12" t="s">
        <v>23</v>
      </c>
      <c r="O406" s="12"/>
      <c r="P406" s="12" t="s">
        <v>73</v>
      </c>
      <c r="Q406" s="17" t="s">
        <v>2157</v>
      </c>
    </row>
    <row r="407" spans="1:17" ht="24.9" customHeight="1">
      <c r="A407" s="2"/>
      <c r="B407" s="11" t="s">
        <v>2158</v>
      </c>
      <c r="C407" s="9" t="s">
        <v>2159</v>
      </c>
      <c r="D407" s="12" t="s">
        <v>2160</v>
      </c>
      <c r="E407" s="13" t="s">
        <v>2161</v>
      </c>
      <c r="F407" s="13" t="s">
        <v>2056</v>
      </c>
      <c r="G407" s="14">
        <v>380</v>
      </c>
      <c r="H407" s="14">
        <f t="shared" si="24"/>
        <v>285</v>
      </c>
      <c r="I407" s="14"/>
      <c r="J407" s="15">
        <f t="shared" si="25"/>
        <v>0</v>
      </c>
      <c r="K407" s="12" t="s">
        <v>1652</v>
      </c>
      <c r="L407" s="16" t="str">
        <f t="shared" si="26"/>
        <v>9786267427101</v>
      </c>
      <c r="M407" s="29" t="str">
        <f t="shared" si="27"/>
        <v>https://search.books.com.tw/search/query/key/9786267427101</v>
      </c>
      <c r="N407" s="12" t="s">
        <v>33</v>
      </c>
      <c r="O407" s="12"/>
      <c r="P407" s="12" t="s">
        <v>2026</v>
      </c>
      <c r="Q407" s="17" t="s">
        <v>2027</v>
      </c>
    </row>
    <row r="408" spans="1:17" ht="24.9" customHeight="1">
      <c r="A408" s="2"/>
      <c r="B408" s="11" t="s">
        <v>2162</v>
      </c>
      <c r="C408" s="9" t="s">
        <v>2163</v>
      </c>
      <c r="D408" s="12" t="s">
        <v>2164</v>
      </c>
      <c r="E408" s="13" t="s">
        <v>2165</v>
      </c>
      <c r="F408" s="13" t="s">
        <v>2166</v>
      </c>
      <c r="G408" s="14">
        <v>320</v>
      </c>
      <c r="H408" s="14">
        <f t="shared" si="24"/>
        <v>240</v>
      </c>
      <c r="I408" s="14"/>
      <c r="J408" s="15">
        <f t="shared" si="25"/>
        <v>0</v>
      </c>
      <c r="K408" s="12" t="s">
        <v>2167</v>
      </c>
      <c r="L408" s="16" t="str">
        <f t="shared" si="26"/>
        <v>9789862943311</v>
      </c>
      <c r="M408" s="29" t="str">
        <f t="shared" si="27"/>
        <v>https://search.books.com.tw/search/query/key/9789862943311</v>
      </c>
      <c r="N408" s="12" t="s">
        <v>343</v>
      </c>
      <c r="O408" s="12"/>
      <c r="P408" s="12" t="s">
        <v>191</v>
      </c>
      <c r="Q408" s="17" t="s">
        <v>1392</v>
      </c>
    </row>
    <row r="409" spans="1:17" ht="24.9" customHeight="1">
      <c r="A409" s="2"/>
      <c r="B409" s="11" t="s">
        <v>2168</v>
      </c>
      <c r="C409" s="9" t="s">
        <v>2169</v>
      </c>
      <c r="D409" s="12" t="s">
        <v>1282</v>
      </c>
      <c r="E409" s="13" t="s">
        <v>2170</v>
      </c>
      <c r="F409" s="13" t="s">
        <v>1486</v>
      </c>
      <c r="G409" s="14">
        <v>360</v>
      </c>
      <c r="H409" s="14">
        <f t="shared" si="24"/>
        <v>270</v>
      </c>
      <c r="I409" s="14"/>
      <c r="J409" s="15">
        <f t="shared" si="25"/>
        <v>0</v>
      </c>
      <c r="K409" s="12" t="s">
        <v>22</v>
      </c>
      <c r="L409" s="16" t="str">
        <f t="shared" si="26"/>
        <v>9786267237564</v>
      </c>
      <c r="M409" s="29" t="str">
        <f t="shared" si="27"/>
        <v>https://search.books.com.tw/search/query/key/9786267237564</v>
      </c>
      <c r="N409" s="12" t="s">
        <v>343</v>
      </c>
      <c r="O409" s="12"/>
      <c r="P409" s="12" t="s">
        <v>45</v>
      </c>
      <c r="Q409" s="17" t="s">
        <v>523</v>
      </c>
    </row>
    <row r="410" spans="1:17" ht="24.9" customHeight="1">
      <c r="A410" s="2"/>
      <c r="B410" s="11" t="s">
        <v>2171</v>
      </c>
      <c r="C410" s="9" t="s">
        <v>2172</v>
      </c>
      <c r="D410" s="12" t="s">
        <v>2173</v>
      </c>
      <c r="E410" s="13" t="s">
        <v>2174</v>
      </c>
      <c r="F410" s="13" t="s">
        <v>2175</v>
      </c>
      <c r="G410" s="14">
        <v>420</v>
      </c>
      <c r="H410" s="14">
        <f t="shared" si="24"/>
        <v>315</v>
      </c>
      <c r="I410" s="14"/>
      <c r="J410" s="15">
        <f t="shared" si="25"/>
        <v>0</v>
      </c>
      <c r="K410" s="12" t="s">
        <v>567</v>
      </c>
      <c r="L410" s="16" t="str">
        <f t="shared" si="26"/>
        <v>9786263965409</v>
      </c>
      <c r="M410" s="29" t="str">
        <f t="shared" si="27"/>
        <v>https://search.books.com.tw/search/query/key/9786263965409</v>
      </c>
      <c r="N410" s="12" t="s">
        <v>33</v>
      </c>
      <c r="O410" s="12"/>
      <c r="P410" s="12" t="s">
        <v>25</v>
      </c>
      <c r="Q410" s="17" t="s">
        <v>26</v>
      </c>
    </row>
    <row r="411" spans="1:17" ht="24.9" customHeight="1">
      <c r="A411" s="2"/>
      <c r="B411" s="11" t="s">
        <v>2176</v>
      </c>
      <c r="C411" s="9" t="s">
        <v>2177</v>
      </c>
      <c r="D411" s="12" t="s">
        <v>2178</v>
      </c>
      <c r="E411" s="13" t="s">
        <v>2179</v>
      </c>
      <c r="F411" s="13" t="s">
        <v>2180</v>
      </c>
      <c r="G411" s="14">
        <v>400</v>
      </c>
      <c r="H411" s="14">
        <f t="shared" si="24"/>
        <v>300</v>
      </c>
      <c r="I411" s="14"/>
      <c r="J411" s="15">
        <f t="shared" si="25"/>
        <v>0</v>
      </c>
      <c r="K411" s="12" t="s">
        <v>42</v>
      </c>
      <c r="L411" s="16" t="str">
        <f t="shared" si="26"/>
        <v>9789570878226</v>
      </c>
      <c r="M411" s="29" t="str">
        <f t="shared" si="27"/>
        <v>https://search.books.com.tw/search/query/key/9789570878226</v>
      </c>
      <c r="N411" s="12" t="s">
        <v>33</v>
      </c>
      <c r="O411" s="12"/>
      <c r="P411" s="12" t="s">
        <v>45</v>
      </c>
      <c r="Q411" s="17" t="s">
        <v>1875</v>
      </c>
    </row>
    <row r="412" spans="1:17" ht="24.9" customHeight="1">
      <c r="A412" s="2"/>
      <c r="B412" s="11" t="s">
        <v>2181</v>
      </c>
      <c r="C412" s="9" t="s">
        <v>2182</v>
      </c>
      <c r="D412" s="12" t="s">
        <v>2183</v>
      </c>
      <c r="E412" s="13" t="s">
        <v>2184</v>
      </c>
      <c r="F412" s="13" t="s">
        <v>2185</v>
      </c>
      <c r="G412" s="14">
        <v>350</v>
      </c>
      <c r="H412" s="14">
        <f t="shared" si="24"/>
        <v>263</v>
      </c>
      <c r="I412" s="14"/>
      <c r="J412" s="15">
        <f t="shared" si="25"/>
        <v>0</v>
      </c>
      <c r="K412" s="12" t="s">
        <v>2186</v>
      </c>
      <c r="L412" s="16" t="str">
        <f t="shared" si="26"/>
        <v>9789865562540</v>
      </c>
      <c r="M412" s="29" t="str">
        <f t="shared" si="27"/>
        <v>https://search.books.com.tw/search/query/key/9789865562540</v>
      </c>
      <c r="N412" s="12" t="s">
        <v>33</v>
      </c>
      <c r="O412" s="12"/>
      <c r="P412" s="12" t="s">
        <v>35</v>
      </c>
      <c r="Q412" s="17" t="s">
        <v>706</v>
      </c>
    </row>
    <row r="413" spans="1:17" ht="24.9" customHeight="1">
      <c r="A413" s="2"/>
      <c r="B413" s="11" t="s">
        <v>2187</v>
      </c>
      <c r="C413" s="9" t="s">
        <v>2188</v>
      </c>
      <c r="D413" s="12" t="s">
        <v>2189</v>
      </c>
      <c r="E413" s="13" t="s">
        <v>2190</v>
      </c>
      <c r="F413" s="13" t="s">
        <v>896</v>
      </c>
      <c r="G413" s="14">
        <v>480</v>
      </c>
      <c r="H413" s="14">
        <f t="shared" si="24"/>
        <v>360</v>
      </c>
      <c r="I413" s="14"/>
      <c r="J413" s="15">
        <f t="shared" si="25"/>
        <v>0</v>
      </c>
      <c r="K413" s="12" t="s">
        <v>480</v>
      </c>
      <c r="L413" s="16" t="str">
        <f t="shared" si="26"/>
        <v>9786267520611</v>
      </c>
      <c r="M413" s="29" t="str">
        <f t="shared" si="27"/>
        <v>https://search.books.com.tw/search/query/key/9786267520611</v>
      </c>
      <c r="N413" s="12" t="s">
        <v>33</v>
      </c>
      <c r="O413" s="12"/>
      <c r="P413" s="12" t="s">
        <v>35</v>
      </c>
      <c r="Q413" s="17" t="s">
        <v>198</v>
      </c>
    </row>
    <row r="414" spans="1:17" ht="24.9" customHeight="1">
      <c r="A414" s="2"/>
      <c r="B414" s="11" t="s">
        <v>2191</v>
      </c>
      <c r="C414" s="9" t="s">
        <v>2192</v>
      </c>
      <c r="D414" s="12" t="s">
        <v>2193</v>
      </c>
      <c r="E414" s="13" t="s">
        <v>2194</v>
      </c>
      <c r="F414" s="13" t="s">
        <v>2195</v>
      </c>
      <c r="G414" s="14">
        <v>470</v>
      </c>
      <c r="H414" s="14">
        <f t="shared" si="24"/>
        <v>353</v>
      </c>
      <c r="I414" s="14"/>
      <c r="J414" s="15">
        <f t="shared" si="25"/>
        <v>0</v>
      </c>
      <c r="K414" s="12" t="s">
        <v>216</v>
      </c>
      <c r="L414" s="16" t="str">
        <f t="shared" si="26"/>
        <v>9789866377792</v>
      </c>
      <c r="M414" s="29" t="str">
        <f t="shared" si="27"/>
        <v>https://search.books.com.tw/search/query/key/9789866377792</v>
      </c>
      <c r="N414" s="12" t="s">
        <v>33</v>
      </c>
      <c r="O414" s="12"/>
      <c r="P414" s="12" t="s">
        <v>45</v>
      </c>
      <c r="Q414" s="17" t="s">
        <v>2196</v>
      </c>
    </row>
    <row r="415" spans="1:17" ht="24.9" customHeight="1">
      <c r="A415" s="2"/>
      <c r="B415" s="11" t="s">
        <v>2197</v>
      </c>
      <c r="C415" s="9" t="s">
        <v>2198</v>
      </c>
      <c r="D415" s="12" t="s">
        <v>1950</v>
      </c>
      <c r="E415" s="13" t="s">
        <v>2199</v>
      </c>
      <c r="F415" s="13" t="s">
        <v>2200</v>
      </c>
      <c r="G415" s="14">
        <v>380</v>
      </c>
      <c r="H415" s="14">
        <f t="shared" si="24"/>
        <v>285</v>
      </c>
      <c r="I415" s="14"/>
      <c r="J415" s="15">
        <f t="shared" si="25"/>
        <v>0</v>
      </c>
      <c r="K415" s="12" t="s">
        <v>1963</v>
      </c>
      <c r="L415" s="16" t="str">
        <f t="shared" si="26"/>
        <v>9786267525760</v>
      </c>
      <c r="M415" s="29" t="str">
        <f t="shared" si="27"/>
        <v>https://search.books.com.tw/search/query/key/9786267525760</v>
      </c>
      <c r="N415" s="12" t="s">
        <v>1029</v>
      </c>
      <c r="O415" s="12"/>
      <c r="P415" s="12" t="s">
        <v>73</v>
      </c>
      <c r="Q415" s="17" t="s">
        <v>1952</v>
      </c>
    </row>
    <row r="416" spans="1:17" ht="24.9" customHeight="1">
      <c r="A416" s="2"/>
      <c r="B416" s="11" t="s">
        <v>2201</v>
      </c>
      <c r="C416" s="9" t="s">
        <v>2202</v>
      </c>
      <c r="D416" s="12" t="s">
        <v>2203</v>
      </c>
      <c r="E416" s="13" t="s">
        <v>2204</v>
      </c>
      <c r="F416" s="13" t="s">
        <v>2205</v>
      </c>
      <c r="G416" s="14">
        <v>320</v>
      </c>
      <c r="H416" s="14">
        <f t="shared" si="24"/>
        <v>240</v>
      </c>
      <c r="I416" s="14"/>
      <c r="J416" s="15">
        <f t="shared" si="25"/>
        <v>0</v>
      </c>
      <c r="K416" s="12" t="s">
        <v>183</v>
      </c>
      <c r="L416" s="16" t="str">
        <f t="shared" si="26"/>
        <v>9786267271421</v>
      </c>
      <c r="M416" s="29" t="str">
        <f t="shared" si="27"/>
        <v>https://search.books.com.tw/search/query/key/9786267271421</v>
      </c>
      <c r="N416" s="12" t="s">
        <v>1047</v>
      </c>
      <c r="O416" s="12"/>
      <c r="P416" s="12" t="s">
        <v>45</v>
      </c>
      <c r="Q416" s="17" t="s">
        <v>239</v>
      </c>
    </row>
    <row r="417" spans="1:17" ht="24.9" customHeight="1">
      <c r="A417" s="2"/>
      <c r="B417" s="11" t="s">
        <v>2206</v>
      </c>
      <c r="C417" s="9" t="s">
        <v>2207</v>
      </c>
      <c r="D417" s="12" t="s">
        <v>2208</v>
      </c>
      <c r="E417" s="13" t="s">
        <v>2209</v>
      </c>
      <c r="F417" s="13" t="s">
        <v>1787</v>
      </c>
      <c r="G417" s="14">
        <v>290</v>
      </c>
      <c r="H417" s="14">
        <f t="shared" si="24"/>
        <v>218</v>
      </c>
      <c r="I417" s="14"/>
      <c r="J417" s="15">
        <f t="shared" si="25"/>
        <v>0</v>
      </c>
      <c r="K417" s="12" t="s">
        <v>22</v>
      </c>
      <c r="L417" s="16" t="str">
        <f t="shared" si="26"/>
        <v>9789576785320</v>
      </c>
      <c r="M417" s="29" t="str">
        <f t="shared" si="27"/>
        <v>https://search.books.com.tw/search/query/key/9789576785320</v>
      </c>
      <c r="N417" s="12" t="s">
        <v>43</v>
      </c>
      <c r="O417" s="12"/>
      <c r="P417" s="12" t="s">
        <v>25</v>
      </c>
      <c r="Q417" s="17" t="s">
        <v>2210</v>
      </c>
    </row>
    <row r="418" spans="1:17" ht="24.9" customHeight="1">
      <c r="A418" s="2"/>
      <c r="B418" s="11" t="s">
        <v>2211</v>
      </c>
      <c r="C418" s="9" t="s">
        <v>2212</v>
      </c>
      <c r="D418" s="12" t="s">
        <v>2213</v>
      </c>
      <c r="E418" s="13" t="s">
        <v>2214</v>
      </c>
      <c r="F418" s="13" t="s">
        <v>1967</v>
      </c>
      <c r="G418" s="14">
        <v>420</v>
      </c>
      <c r="H418" s="14">
        <f t="shared" si="24"/>
        <v>315</v>
      </c>
      <c r="I418" s="14"/>
      <c r="J418" s="15">
        <f t="shared" si="25"/>
        <v>0</v>
      </c>
      <c r="K418" s="12" t="s">
        <v>1069</v>
      </c>
      <c r="L418" s="16" t="str">
        <f t="shared" si="26"/>
        <v>9786267267448</v>
      </c>
      <c r="M418" s="29" t="str">
        <f t="shared" si="27"/>
        <v>https://search.books.com.tw/search/query/key/9786267267448</v>
      </c>
      <c r="N418" s="12" t="s">
        <v>33</v>
      </c>
      <c r="O418" s="12"/>
      <c r="P418" s="12" t="s">
        <v>25</v>
      </c>
      <c r="Q418" s="17" t="s">
        <v>26</v>
      </c>
    </row>
    <row r="419" spans="1:17" ht="24.9" customHeight="1">
      <c r="A419" s="2"/>
      <c r="B419" s="11" t="s">
        <v>2215</v>
      </c>
      <c r="C419" s="9" t="s">
        <v>2216</v>
      </c>
      <c r="D419" s="12" t="s">
        <v>2217</v>
      </c>
      <c r="E419" s="13" t="s">
        <v>2218</v>
      </c>
      <c r="F419" s="13" t="s">
        <v>2219</v>
      </c>
      <c r="G419" s="14">
        <v>480</v>
      </c>
      <c r="H419" s="14">
        <f t="shared" si="24"/>
        <v>360</v>
      </c>
      <c r="I419" s="14"/>
      <c r="J419" s="15">
        <f t="shared" si="25"/>
        <v>0</v>
      </c>
      <c r="K419" s="12" t="s">
        <v>690</v>
      </c>
      <c r="L419" s="16" t="str">
        <f t="shared" si="26"/>
        <v>9789864060139</v>
      </c>
      <c r="M419" s="29" t="str">
        <f t="shared" si="27"/>
        <v>https://search.books.com.tw/search/query/key/9789864060139</v>
      </c>
      <c r="N419" s="12" t="s">
        <v>33</v>
      </c>
      <c r="O419" s="12"/>
      <c r="P419" s="12" t="s">
        <v>45</v>
      </c>
      <c r="Q419" s="17" t="s">
        <v>52</v>
      </c>
    </row>
    <row r="420" spans="1:17" ht="24.9" customHeight="1">
      <c r="A420" s="2"/>
      <c r="B420" s="11" t="s">
        <v>2220</v>
      </c>
      <c r="C420" s="9" t="s">
        <v>2221</v>
      </c>
      <c r="D420" s="12" t="s">
        <v>2222</v>
      </c>
      <c r="E420" s="13" t="s">
        <v>2223</v>
      </c>
      <c r="F420" s="13" t="s">
        <v>2224</v>
      </c>
      <c r="G420" s="14">
        <v>540</v>
      </c>
      <c r="H420" s="14">
        <f t="shared" si="24"/>
        <v>405</v>
      </c>
      <c r="I420" s="14"/>
      <c r="J420" s="15">
        <f t="shared" si="25"/>
        <v>0</v>
      </c>
      <c r="K420" s="12" t="s">
        <v>832</v>
      </c>
      <c r="L420" s="16" t="str">
        <f t="shared" si="26"/>
        <v>9786263146372</v>
      </c>
      <c r="M420" s="29" t="str">
        <f t="shared" si="27"/>
        <v>https://search.books.com.tw/search/query/key/9786263146372</v>
      </c>
      <c r="N420" s="12" t="s">
        <v>2225</v>
      </c>
      <c r="O420" s="12"/>
      <c r="P420" s="12" t="s">
        <v>45</v>
      </c>
      <c r="Q420" s="17" t="s">
        <v>2226</v>
      </c>
    </row>
    <row r="421" spans="1:17" ht="24.9" customHeight="1">
      <c r="A421" s="2"/>
      <c r="B421" s="11" t="s">
        <v>2227</v>
      </c>
      <c r="C421" s="9" t="s">
        <v>2228</v>
      </c>
      <c r="D421" s="12" t="s">
        <v>2229</v>
      </c>
      <c r="E421" s="13" t="s">
        <v>2230</v>
      </c>
      <c r="F421" s="13" t="s">
        <v>2224</v>
      </c>
      <c r="G421" s="14">
        <v>540</v>
      </c>
      <c r="H421" s="14">
        <f t="shared" si="24"/>
        <v>405</v>
      </c>
      <c r="I421" s="14"/>
      <c r="J421" s="15">
        <f t="shared" si="25"/>
        <v>0</v>
      </c>
      <c r="K421" s="12" t="s">
        <v>832</v>
      </c>
      <c r="L421" s="16" t="str">
        <f t="shared" si="26"/>
        <v>9786263146389</v>
      </c>
      <c r="M421" s="29" t="str">
        <f t="shared" si="27"/>
        <v>https://search.books.com.tw/search/query/key/9786263146389</v>
      </c>
      <c r="N421" s="12" t="s">
        <v>2225</v>
      </c>
      <c r="O421" s="12"/>
      <c r="P421" s="12" t="s">
        <v>45</v>
      </c>
      <c r="Q421" s="17" t="s">
        <v>2226</v>
      </c>
    </row>
    <row r="422" spans="1:17" ht="24.9" customHeight="1">
      <c r="A422" s="2"/>
      <c r="B422" s="11" t="s">
        <v>2231</v>
      </c>
      <c r="C422" s="9" t="s">
        <v>2232</v>
      </c>
      <c r="D422" s="12" t="s">
        <v>2233</v>
      </c>
      <c r="E422" s="13" t="s">
        <v>2234</v>
      </c>
      <c r="F422" s="13" t="s">
        <v>2235</v>
      </c>
      <c r="G422" s="14">
        <v>540</v>
      </c>
      <c r="H422" s="14">
        <f t="shared" si="24"/>
        <v>405</v>
      </c>
      <c r="I422" s="14"/>
      <c r="J422" s="15">
        <f t="shared" si="25"/>
        <v>0</v>
      </c>
      <c r="K422" s="12" t="s">
        <v>697</v>
      </c>
      <c r="L422" s="16" t="str">
        <f t="shared" si="26"/>
        <v>9786267401453</v>
      </c>
      <c r="M422" s="29" t="str">
        <f t="shared" si="27"/>
        <v>https://search.books.com.tw/search/query/key/9786267401453</v>
      </c>
      <c r="N422" s="12" t="s">
        <v>33</v>
      </c>
      <c r="O422" s="12"/>
      <c r="P422" s="12" t="s">
        <v>25</v>
      </c>
      <c r="Q422" s="17" t="s">
        <v>1766</v>
      </c>
    </row>
    <row r="423" spans="1:17" ht="24.9" customHeight="1">
      <c r="A423" s="2"/>
      <c r="B423" s="11" t="s">
        <v>2236</v>
      </c>
      <c r="C423" s="9" t="s">
        <v>2237</v>
      </c>
      <c r="D423" s="12" t="s">
        <v>408</v>
      </c>
      <c r="E423" s="13" t="s">
        <v>2238</v>
      </c>
      <c r="F423" s="13" t="s">
        <v>2071</v>
      </c>
      <c r="G423" s="14">
        <v>300</v>
      </c>
      <c r="H423" s="14">
        <f t="shared" si="24"/>
        <v>225</v>
      </c>
      <c r="I423" s="14"/>
      <c r="J423" s="15">
        <f t="shared" si="25"/>
        <v>0</v>
      </c>
      <c r="K423" s="12" t="s">
        <v>125</v>
      </c>
      <c r="L423" s="16" t="str">
        <f t="shared" si="26"/>
        <v>9789864507344</v>
      </c>
      <c r="M423" s="29" t="str">
        <f t="shared" si="27"/>
        <v>https://search.books.com.tw/search/query/key/9789864507344</v>
      </c>
      <c r="N423" s="12" t="s">
        <v>33</v>
      </c>
      <c r="O423" s="12"/>
      <c r="P423" s="12" t="s">
        <v>45</v>
      </c>
      <c r="Q423" s="17" t="s">
        <v>1154</v>
      </c>
    </row>
    <row r="424" spans="1:17" ht="24.9" customHeight="1">
      <c r="A424" s="2"/>
      <c r="B424" s="11" t="s">
        <v>2239</v>
      </c>
      <c r="C424" s="9" t="s">
        <v>2240</v>
      </c>
      <c r="D424" s="12" t="s">
        <v>2241</v>
      </c>
      <c r="E424" s="13" t="s">
        <v>2242</v>
      </c>
      <c r="F424" s="13" t="s">
        <v>2243</v>
      </c>
      <c r="G424" s="14">
        <v>390</v>
      </c>
      <c r="H424" s="14">
        <f t="shared" si="24"/>
        <v>293</v>
      </c>
      <c r="I424" s="14"/>
      <c r="J424" s="15">
        <f t="shared" si="25"/>
        <v>0</v>
      </c>
      <c r="K424" s="12" t="s">
        <v>1327</v>
      </c>
      <c r="L424" s="16" t="str">
        <f t="shared" si="26"/>
        <v>9789864275106</v>
      </c>
      <c r="M424" s="29" t="str">
        <f t="shared" si="27"/>
        <v>https://search.books.com.tw/search/query/key/9789864275106</v>
      </c>
      <c r="N424" s="12" t="s">
        <v>343</v>
      </c>
      <c r="O424" s="12"/>
      <c r="P424" s="12" t="s">
        <v>45</v>
      </c>
      <c r="Q424" s="17" t="s">
        <v>2244</v>
      </c>
    </row>
    <row r="425" spans="1:17" ht="24.9" customHeight="1">
      <c r="A425" s="2"/>
      <c r="B425" s="11" t="s">
        <v>2245</v>
      </c>
      <c r="C425" s="9" t="s">
        <v>2246</v>
      </c>
      <c r="D425" s="12" t="s">
        <v>2247</v>
      </c>
      <c r="E425" s="13" t="s">
        <v>2248</v>
      </c>
      <c r="F425" s="13" t="s">
        <v>2249</v>
      </c>
      <c r="G425" s="14">
        <v>250</v>
      </c>
      <c r="H425" s="14">
        <f t="shared" si="24"/>
        <v>188</v>
      </c>
      <c r="I425" s="14"/>
      <c r="J425" s="15">
        <f t="shared" si="25"/>
        <v>0</v>
      </c>
      <c r="K425" s="12" t="s">
        <v>2250</v>
      </c>
      <c r="L425" s="16" t="str">
        <f t="shared" si="26"/>
        <v>9789861937205</v>
      </c>
      <c r="M425" s="29" t="str">
        <f t="shared" si="27"/>
        <v>https://search.books.com.tw/search/query/key/9789861937205</v>
      </c>
      <c r="N425" s="12" t="s">
        <v>43</v>
      </c>
      <c r="O425" s="12"/>
      <c r="P425" s="12" t="s">
        <v>45</v>
      </c>
      <c r="Q425" s="17" t="s">
        <v>2251</v>
      </c>
    </row>
    <row r="426" spans="1:17" ht="24.9" customHeight="1">
      <c r="A426" s="2"/>
      <c r="B426" s="11" t="s">
        <v>2252</v>
      </c>
      <c r="C426" s="9" t="s">
        <v>2253</v>
      </c>
      <c r="D426" s="12"/>
      <c r="E426" s="13" t="s">
        <v>2254</v>
      </c>
      <c r="F426" s="13" t="s">
        <v>2255</v>
      </c>
      <c r="G426" s="14">
        <v>290</v>
      </c>
      <c r="H426" s="14">
        <f t="shared" si="24"/>
        <v>218</v>
      </c>
      <c r="I426" s="14"/>
      <c r="J426" s="15">
        <f t="shared" si="25"/>
        <v>0</v>
      </c>
      <c r="K426" s="12" t="s">
        <v>2250</v>
      </c>
      <c r="L426" s="16" t="str">
        <f t="shared" si="26"/>
        <v>9789861937069</v>
      </c>
      <c r="M426" s="29" t="str">
        <f t="shared" si="27"/>
        <v>https://search.books.com.tw/search/query/key/9789861937069</v>
      </c>
      <c r="N426" s="12" t="s">
        <v>43</v>
      </c>
      <c r="O426" s="12"/>
      <c r="P426" s="12" t="s">
        <v>45</v>
      </c>
      <c r="Q426" s="17" t="s">
        <v>2256</v>
      </c>
    </row>
    <row r="427" spans="1:17" ht="24.9" customHeight="1">
      <c r="A427" s="2"/>
      <c r="B427" s="11" t="s">
        <v>2257</v>
      </c>
      <c r="C427" s="9" t="s">
        <v>2258</v>
      </c>
      <c r="D427" s="12" t="s">
        <v>2259</v>
      </c>
      <c r="E427" s="13" t="s">
        <v>2260</v>
      </c>
      <c r="F427" s="13" t="s">
        <v>1988</v>
      </c>
      <c r="G427" s="14">
        <v>360</v>
      </c>
      <c r="H427" s="14">
        <f t="shared" si="24"/>
        <v>270</v>
      </c>
      <c r="I427" s="14"/>
      <c r="J427" s="15">
        <f t="shared" si="25"/>
        <v>0</v>
      </c>
      <c r="K427" s="12" t="s">
        <v>22</v>
      </c>
      <c r="L427" s="16" t="str">
        <f t="shared" si="26"/>
        <v>9786267127025</v>
      </c>
      <c r="M427" s="29" t="str">
        <f t="shared" si="27"/>
        <v>https://search.books.com.tw/search/query/key/9786267127025</v>
      </c>
      <c r="N427" s="12" t="s">
        <v>43</v>
      </c>
      <c r="O427" s="12"/>
      <c r="P427" s="12" t="s">
        <v>25</v>
      </c>
      <c r="Q427" s="17" t="s">
        <v>2261</v>
      </c>
    </row>
    <row r="428" spans="1:17" ht="24.9" customHeight="1">
      <c r="A428" s="2"/>
      <c r="B428" s="11" t="s">
        <v>2262</v>
      </c>
      <c r="C428" s="9" t="s">
        <v>2263</v>
      </c>
      <c r="D428" s="12" t="s">
        <v>2264</v>
      </c>
      <c r="E428" s="13" t="s">
        <v>2265</v>
      </c>
      <c r="F428" s="13" t="s">
        <v>2266</v>
      </c>
      <c r="G428" s="14">
        <v>500</v>
      </c>
      <c r="H428" s="14">
        <f t="shared" si="24"/>
        <v>375</v>
      </c>
      <c r="I428" s="14"/>
      <c r="J428" s="15">
        <f t="shared" si="25"/>
        <v>0</v>
      </c>
      <c r="K428" s="12" t="s">
        <v>349</v>
      </c>
      <c r="L428" s="16" t="str">
        <f t="shared" si="26"/>
        <v>9786267267417</v>
      </c>
      <c r="M428" s="29" t="str">
        <f t="shared" si="27"/>
        <v>https://search.books.com.tw/search/query/key/9786267267417</v>
      </c>
      <c r="N428" s="12" t="s">
        <v>33</v>
      </c>
      <c r="O428" s="12"/>
      <c r="P428" s="12" t="s">
        <v>35</v>
      </c>
      <c r="Q428" s="17" t="s">
        <v>2267</v>
      </c>
    </row>
    <row r="429" spans="1:17" ht="24.9" customHeight="1">
      <c r="A429" s="2"/>
      <c r="B429" s="11" t="s">
        <v>2268</v>
      </c>
      <c r="C429" s="9" t="s">
        <v>2269</v>
      </c>
      <c r="D429" s="12" t="s">
        <v>2270</v>
      </c>
      <c r="E429" s="13" t="s">
        <v>2271</v>
      </c>
      <c r="F429" s="13" t="s">
        <v>1988</v>
      </c>
      <c r="G429" s="14">
        <v>360</v>
      </c>
      <c r="H429" s="14">
        <f t="shared" si="24"/>
        <v>270</v>
      </c>
      <c r="I429" s="14"/>
      <c r="J429" s="15">
        <f t="shared" si="25"/>
        <v>0</v>
      </c>
      <c r="K429" s="12" t="s">
        <v>22</v>
      </c>
      <c r="L429" s="16" t="str">
        <f t="shared" si="26"/>
        <v>9786267127315</v>
      </c>
      <c r="M429" s="29" t="str">
        <f t="shared" si="27"/>
        <v>https://search.books.com.tw/search/query/key/9786267127315</v>
      </c>
      <c r="N429" s="12" t="s">
        <v>343</v>
      </c>
      <c r="O429" s="12"/>
      <c r="P429" s="12" t="s">
        <v>45</v>
      </c>
      <c r="Q429" s="17" t="s">
        <v>523</v>
      </c>
    </row>
    <row r="430" spans="1:17" ht="24.9" customHeight="1">
      <c r="A430" s="2"/>
      <c r="B430" s="11" t="s">
        <v>2272</v>
      </c>
      <c r="C430" s="9"/>
      <c r="D430" s="12"/>
      <c r="E430" s="13"/>
      <c r="F430" s="13"/>
      <c r="G430" s="14"/>
      <c r="H430" s="14">
        <f t="shared" si="24"/>
        <v>0</v>
      </c>
      <c r="I430" s="14"/>
      <c r="J430" s="15">
        <f t="shared" si="25"/>
        <v>0</v>
      </c>
      <c r="K430" s="12"/>
      <c r="L430" s="16">
        <f t="shared" si="26"/>
        <v>0</v>
      </c>
      <c r="M430" s="29" t="str">
        <f t="shared" si="27"/>
        <v>https://search.books.com.tw/search/query/key/</v>
      </c>
      <c r="N430" s="12"/>
      <c r="O430" s="12"/>
      <c r="P430" s="12"/>
      <c r="Q430" s="17" t="s">
        <v>605</v>
      </c>
    </row>
    <row r="431" spans="1:17" ht="24.9" customHeight="1">
      <c r="A431" s="2"/>
      <c r="B431" s="11" t="s">
        <v>2273</v>
      </c>
      <c r="C431" s="9" t="s">
        <v>2274</v>
      </c>
      <c r="D431" s="12" t="s">
        <v>2275</v>
      </c>
      <c r="E431" s="13" t="s">
        <v>2276</v>
      </c>
      <c r="F431" s="13" t="s">
        <v>2277</v>
      </c>
      <c r="G431" s="14">
        <v>380</v>
      </c>
      <c r="H431" s="14">
        <f t="shared" si="24"/>
        <v>285</v>
      </c>
      <c r="I431" s="14"/>
      <c r="J431" s="15">
        <f t="shared" si="25"/>
        <v>0</v>
      </c>
      <c r="K431" s="12" t="s">
        <v>157</v>
      </c>
      <c r="L431" s="16" t="str">
        <f t="shared" si="26"/>
        <v>9786263435483</v>
      </c>
      <c r="M431" s="29" t="str">
        <f t="shared" si="27"/>
        <v>https://search.books.com.tw/search/query/key/9786263435483</v>
      </c>
      <c r="N431" s="12" t="s">
        <v>522</v>
      </c>
      <c r="O431" s="12"/>
      <c r="P431" s="12" t="s">
        <v>45</v>
      </c>
      <c r="Q431" s="17" t="s">
        <v>2278</v>
      </c>
    </row>
    <row r="432" spans="1:17" ht="24.9" customHeight="1">
      <c r="A432" s="2"/>
      <c r="B432" s="11" t="s">
        <v>2279</v>
      </c>
      <c r="C432" s="9" t="s">
        <v>2280</v>
      </c>
      <c r="D432" s="12" t="s">
        <v>2281</v>
      </c>
      <c r="E432" s="13" t="s">
        <v>2282</v>
      </c>
      <c r="F432" s="13" t="s">
        <v>1229</v>
      </c>
      <c r="G432" s="14">
        <v>390</v>
      </c>
      <c r="H432" s="14">
        <f t="shared" si="24"/>
        <v>293</v>
      </c>
      <c r="I432" s="14"/>
      <c r="J432" s="15">
        <f t="shared" si="25"/>
        <v>0</v>
      </c>
      <c r="K432" s="12" t="s">
        <v>349</v>
      </c>
      <c r="L432" s="16" t="str">
        <f t="shared" si="26"/>
        <v>9786264203210</v>
      </c>
      <c r="M432" s="29" t="str">
        <f t="shared" si="27"/>
        <v>https://search.books.com.tw/search/query/key/9786264203210</v>
      </c>
      <c r="N432" s="12" t="s">
        <v>33</v>
      </c>
      <c r="O432" s="12"/>
      <c r="P432" s="12" t="s">
        <v>25</v>
      </c>
      <c r="Q432" s="17" t="s">
        <v>684</v>
      </c>
    </row>
    <row r="433" spans="1:17" ht="24.9" customHeight="1">
      <c r="A433" s="2"/>
      <c r="B433" s="11" t="s">
        <v>2283</v>
      </c>
      <c r="C433" s="9" t="s">
        <v>2284</v>
      </c>
      <c r="D433" s="12" t="s">
        <v>2285</v>
      </c>
      <c r="E433" s="13" t="s">
        <v>2286</v>
      </c>
      <c r="F433" s="13" t="s">
        <v>2287</v>
      </c>
      <c r="G433" s="14">
        <v>320</v>
      </c>
      <c r="H433" s="14">
        <f t="shared" si="24"/>
        <v>240</v>
      </c>
      <c r="I433" s="14"/>
      <c r="J433" s="15">
        <f t="shared" si="25"/>
        <v>0</v>
      </c>
      <c r="K433" s="12" t="s">
        <v>2288</v>
      </c>
      <c r="L433" s="16" t="str">
        <f t="shared" si="26"/>
        <v>9789865556433</v>
      </c>
      <c r="M433" s="29" t="str">
        <f t="shared" si="27"/>
        <v>https://search.books.com.tw/search/query/key/9789865556433</v>
      </c>
      <c r="N433" s="12" t="s">
        <v>343</v>
      </c>
      <c r="O433" s="12"/>
      <c r="P433" s="12" t="s">
        <v>45</v>
      </c>
      <c r="Q433" s="17" t="s">
        <v>523</v>
      </c>
    </row>
    <row r="434" spans="1:17" ht="24.9" customHeight="1">
      <c r="A434" s="2"/>
      <c r="B434" s="11" t="s">
        <v>2289</v>
      </c>
      <c r="C434" s="9" t="s">
        <v>2290</v>
      </c>
      <c r="D434" s="12" t="s">
        <v>2291</v>
      </c>
      <c r="E434" s="13" t="s">
        <v>2292</v>
      </c>
      <c r="F434" s="13" t="s">
        <v>2293</v>
      </c>
      <c r="G434" s="14">
        <v>320</v>
      </c>
      <c r="H434" s="14">
        <f t="shared" si="24"/>
        <v>240</v>
      </c>
      <c r="I434" s="14"/>
      <c r="J434" s="15">
        <f t="shared" si="25"/>
        <v>0</v>
      </c>
      <c r="K434" s="12" t="s">
        <v>22</v>
      </c>
      <c r="L434" s="16" t="str">
        <f t="shared" si="26"/>
        <v>9789574906512</v>
      </c>
      <c r="M434" s="29" t="str">
        <f t="shared" si="27"/>
        <v>https://search.books.com.tw/search/query/key/9789574906512</v>
      </c>
      <c r="N434" s="12" t="s">
        <v>343</v>
      </c>
      <c r="O434" s="12"/>
      <c r="P434" s="12" t="s">
        <v>45</v>
      </c>
      <c r="Q434" s="17" t="s">
        <v>523</v>
      </c>
    </row>
    <row r="435" spans="1:17" ht="24.9" customHeight="1">
      <c r="A435" s="2"/>
      <c r="B435" s="11" t="s">
        <v>2294</v>
      </c>
      <c r="C435" s="9" t="s">
        <v>2295</v>
      </c>
      <c r="D435" s="12" t="s">
        <v>608</v>
      </c>
      <c r="E435" s="13" t="s">
        <v>2296</v>
      </c>
      <c r="F435" s="13" t="s">
        <v>1867</v>
      </c>
      <c r="G435" s="14">
        <v>340</v>
      </c>
      <c r="H435" s="14">
        <f t="shared" si="24"/>
        <v>255</v>
      </c>
      <c r="I435" s="14"/>
      <c r="J435" s="15">
        <f t="shared" si="25"/>
        <v>0</v>
      </c>
      <c r="K435" s="12" t="s">
        <v>125</v>
      </c>
      <c r="L435" s="16" t="str">
        <f t="shared" si="26"/>
        <v>9789864507795</v>
      </c>
      <c r="M435" s="29" t="str">
        <f t="shared" si="27"/>
        <v>https://search.books.com.tw/search/query/key/9789864507795</v>
      </c>
      <c r="N435" s="12" t="s">
        <v>522</v>
      </c>
      <c r="O435" s="12"/>
      <c r="P435" s="12" t="s">
        <v>45</v>
      </c>
      <c r="Q435" s="17" t="s">
        <v>713</v>
      </c>
    </row>
    <row r="436" spans="1:17" ht="24.9" customHeight="1">
      <c r="A436" s="2"/>
      <c r="B436" s="11" t="s">
        <v>2297</v>
      </c>
      <c r="C436" s="9" t="s">
        <v>2298</v>
      </c>
      <c r="D436" s="12" t="s">
        <v>2299</v>
      </c>
      <c r="E436" s="13" t="s">
        <v>2300</v>
      </c>
      <c r="F436" s="13" t="s">
        <v>1405</v>
      </c>
      <c r="G436" s="14">
        <v>680</v>
      </c>
      <c r="H436" s="14">
        <f t="shared" si="24"/>
        <v>510</v>
      </c>
      <c r="I436" s="14"/>
      <c r="J436" s="15">
        <f t="shared" si="25"/>
        <v>0</v>
      </c>
      <c r="K436" s="12" t="s">
        <v>1069</v>
      </c>
      <c r="L436" s="16" t="str">
        <f t="shared" si="26"/>
        <v>9786267275771</v>
      </c>
      <c r="M436" s="29" t="str">
        <f t="shared" si="27"/>
        <v>https://search.books.com.tw/search/query/key/9786267275771</v>
      </c>
      <c r="N436" s="12" t="s">
        <v>33</v>
      </c>
      <c r="O436" s="12"/>
      <c r="P436" s="12" t="s">
        <v>73</v>
      </c>
      <c r="Q436" s="17" t="s">
        <v>2301</v>
      </c>
    </row>
    <row r="437" spans="1:17" ht="24.9" customHeight="1">
      <c r="A437" s="2"/>
      <c r="B437" s="11" t="s">
        <v>2302</v>
      </c>
      <c r="C437" s="9" t="s">
        <v>2303</v>
      </c>
      <c r="D437" s="12" t="s">
        <v>2304</v>
      </c>
      <c r="E437" s="13" t="s">
        <v>2305</v>
      </c>
      <c r="F437" s="13" t="s">
        <v>2306</v>
      </c>
      <c r="G437" s="14">
        <v>480</v>
      </c>
      <c r="H437" s="14">
        <f t="shared" si="24"/>
        <v>360</v>
      </c>
      <c r="I437" s="14"/>
      <c r="J437" s="15">
        <f t="shared" si="25"/>
        <v>0</v>
      </c>
      <c r="K437" s="12" t="s">
        <v>2307</v>
      </c>
      <c r="L437" s="16" t="str">
        <f t="shared" si="26"/>
        <v>9786267485583</v>
      </c>
      <c r="M437" s="29" t="str">
        <f t="shared" si="27"/>
        <v>https://search.books.com.tw/search/query/key/9786267485583</v>
      </c>
      <c r="N437" s="12" t="s">
        <v>33</v>
      </c>
      <c r="O437" s="12"/>
      <c r="P437" s="12" t="s">
        <v>384</v>
      </c>
      <c r="Q437" s="17" t="s">
        <v>1696</v>
      </c>
    </row>
    <row r="438" spans="1:17" ht="24.9" customHeight="1">
      <c r="A438" s="2"/>
      <c r="B438" s="11" t="s">
        <v>2308</v>
      </c>
      <c r="C438" s="9" t="s">
        <v>2309</v>
      </c>
      <c r="D438" s="12" t="s">
        <v>2310</v>
      </c>
      <c r="E438" s="13" t="s">
        <v>2311</v>
      </c>
      <c r="F438" s="13" t="s">
        <v>2312</v>
      </c>
      <c r="G438" s="14">
        <v>450</v>
      </c>
      <c r="H438" s="14">
        <f t="shared" si="24"/>
        <v>338</v>
      </c>
      <c r="I438" s="14"/>
      <c r="J438" s="15">
        <f t="shared" si="25"/>
        <v>0</v>
      </c>
      <c r="K438" s="12" t="s">
        <v>80</v>
      </c>
      <c r="L438" s="16" t="str">
        <f t="shared" si="26"/>
        <v>9789862943571</v>
      </c>
      <c r="M438" s="29" t="str">
        <f t="shared" si="27"/>
        <v>https://search.books.com.tw/search/query/key/9789862943571</v>
      </c>
      <c r="N438" s="12" t="s">
        <v>43</v>
      </c>
      <c r="O438" s="12"/>
      <c r="P438" s="12" t="s">
        <v>45</v>
      </c>
      <c r="Q438" s="17" t="s">
        <v>2196</v>
      </c>
    </row>
    <row r="439" spans="1:17" ht="24.9" customHeight="1">
      <c r="A439" s="2"/>
      <c r="B439" s="11" t="s">
        <v>2313</v>
      </c>
      <c r="C439" s="9" t="s">
        <v>2314</v>
      </c>
      <c r="D439" s="12" t="s">
        <v>2315</v>
      </c>
      <c r="E439" s="13" t="s">
        <v>2316</v>
      </c>
      <c r="F439" s="13" t="s">
        <v>1564</v>
      </c>
      <c r="G439" s="14">
        <v>420</v>
      </c>
      <c r="H439" s="14">
        <f t="shared" si="24"/>
        <v>315</v>
      </c>
      <c r="I439" s="14"/>
      <c r="J439" s="15">
        <f t="shared" si="25"/>
        <v>0</v>
      </c>
      <c r="K439" s="12" t="s">
        <v>337</v>
      </c>
      <c r="L439" s="16" t="str">
        <f t="shared" si="26"/>
        <v>9786264174756</v>
      </c>
      <c r="M439" s="29" t="str">
        <f t="shared" si="27"/>
        <v>https://search.books.com.tw/search/query/key/9786264174756</v>
      </c>
      <c r="N439" s="12" t="s">
        <v>343</v>
      </c>
      <c r="O439" s="12"/>
      <c r="P439" s="12" t="s">
        <v>45</v>
      </c>
      <c r="Q439" s="17" t="s">
        <v>523</v>
      </c>
    </row>
    <row r="440" spans="1:17" ht="24.9" customHeight="1">
      <c r="A440" s="2"/>
      <c r="B440" s="11" t="s">
        <v>2317</v>
      </c>
      <c r="C440" s="9" t="s">
        <v>2318</v>
      </c>
      <c r="D440" s="12" t="s">
        <v>2319</v>
      </c>
      <c r="E440" s="13" t="s">
        <v>2320</v>
      </c>
      <c r="F440" s="13" t="s">
        <v>2321</v>
      </c>
      <c r="G440" s="14">
        <v>450</v>
      </c>
      <c r="H440" s="14">
        <f t="shared" si="24"/>
        <v>338</v>
      </c>
      <c r="I440" s="14"/>
      <c r="J440" s="15">
        <f t="shared" si="25"/>
        <v>0</v>
      </c>
      <c r="K440" s="12" t="s">
        <v>2322</v>
      </c>
      <c r="L440" s="16" t="str">
        <f t="shared" si="26"/>
        <v>9786267431146</v>
      </c>
      <c r="M440" s="29" t="str">
        <f t="shared" si="27"/>
        <v>https://search.books.com.tw/search/query/key/9786267431146</v>
      </c>
      <c r="N440" s="12" t="s">
        <v>33</v>
      </c>
      <c r="O440" s="12"/>
      <c r="P440" s="12" t="s">
        <v>35</v>
      </c>
      <c r="Q440" s="17" t="s">
        <v>1492</v>
      </c>
    </row>
    <row r="441" spans="1:17" ht="24.9" customHeight="1">
      <c r="A441" s="2"/>
      <c r="B441" s="11" t="s">
        <v>2323</v>
      </c>
      <c r="C441" s="9" t="s">
        <v>2324</v>
      </c>
      <c r="D441" s="12" t="s">
        <v>1151</v>
      </c>
      <c r="E441" s="13" t="s">
        <v>2325</v>
      </c>
      <c r="F441" s="13" t="s">
        <v>2326</v>
      </c>
      <c r="G441" s="14">
        <v>420</v>
      </c>
      <c r="H441" s="14">
        <f t="shared" si="24"/>
        <v>315</v>
      </c>
      <c r="I441" s="14"/>
      <c r="J441" s="15">
        <f t="shared" si="25"/>
        <v>0</v>
      </c>
      <c r="K441" s="12" t="s">
        <v>832</v>
      </c>
      <c r="L441" s="16" t="str">
        <f t="shared" si="26"/>
        <v>9786263145818</v>
      </c>
      <c r="M441" s="29" t="str">
        <f t="shared" si="27"/>
        <v>https://search.books.com.tw/search/query/key/9786263145818</v>
      </c>
      <c r="N441" s="12" t="s">
        <v>33</v>
      </c>
      <c r="O441" s="12"/>
      <c r="P441" s="12" t="s">
        <v>45</v>
      </c>
      <c r="Q441" s="17" t="s">
        <v>1154</v>
      </c>
    </row>
    <row r="442" spans="1:17" ht="24.9" customHeight="1">
      <c r="A442" s="2"/>
      <c r="B442" s="11" t="s">
        <v>2327</v>
      </c>
      <c r="C442" s="9" t="s">
        <v>2328</v>
      </c>
      <c r="D442" s="12" t="s">
        <v>2329</v>
      </c>
      <c r="E442" s="13" t="s">
        <v>2330</v>
      </c>
      <c r="F442" s="13" t="s">
        <v>1867</v>
      </c>
      <c r="G442" s="14">
        <v>380</v>
      </c>
      <c r="H442" s="14">
        <f t="shared" si="24"/>
        <v>285</v>
      </c>
      <c r="I442" s="14"/>
      <c r="J442" s="15">
        <f t="shared" si="25"/>
        <v>0</v>
      </c>
      <c r="K442" s="12" t="s">
        <v>232</v>
      </c>
      <c r="L442" s="16" t="str">
        <f t="shared" si="26"/>
        <v>9786269684168</v>
      </c>
      <c r="M442" s="29" t="str">
        <f t="shared" si="27"/>
        <v>https://search.books.com.tw/search/query/key/9786269684168</v>
      </c>
      <c r="N442" s="12" t="s">
        <v>522</v>
      </c>
      <c r="O442" s="12"/>
      <c r="P442" s="12" t="s">
        <v>45</v>
      </c>
      <c r="Q442" s="17" t="s">
        <v>2331</v>
      </c>
    </row>
    <row r="443" spans="1:17" ht="24.9" customHeight="1">
      <c r="A443" s="2"/>
      <c r="B443" s="11" t="s">
        <v>2332</v>
      </c>
      <c r="C443" s="9" t="s">
        <v>2333</v>
      </c>
      <c r="D443" s="12" t="s">
        <v>2118</v>
      </c>
      <c r="E443" s="13" t="s">
        <v>2334</v>
      </c>
      <c r="F443" s="13" t="s">
        <v>2335</v>
      </c>
      <c r="G443" s="14">
        <v>320</v>
      </c>
      <c r="H443" s="14">
        <f t="shared" si="24"/>
        <v>240</v>
      </c>
      <c r="I443" s="14"/>
      <c r="J443" s="15">
        <f t="shared" si="25"/>
        <v>0</v>
      </c>
      <c r="K443" s="12" t="s">
        <v>232</v>
      </c>
      <c r="L443" s="16" t="str">
        <f t="shared" si="26"/>
        <v>9786269684144</v>
      </c>
      <c r="M443" s="29" t="str">
        <f t="shared" si="27"/>
        <v>https://search.books.com.tw/search/query/key/9786269684144</v>
      </c>
      <c r="N443" s="12" t="s">
        <v>1047</v>
      </c>
      <c r="O443" s="12"/>
      <c r="P443" s="12" t="s">
        <v>45</v>
      </c>
      <c r="Q443" s="17" t="s">
        <v>239</v>
      </c>
    </row>
    <row r="444" spans="1:17" ht="24.9" customHeight="1">
      <c r="A444" s="2"/>
      <c r="B444" s="11" t="s">
        <v>2336</v>
      </c>
      <c r="C444" s="9" t="s">
        <v>2337</v>
      </c>
      <c r="D444" s="12" t="s">
        <v>2118</v>
      </c>
      <c r="E444" s="13" t="s">
        <v>2338</v>
      </c>
      <c r="F444" s="13" t="s">
        <v>2335</v>
      </c>
      <c r="G444" s="14">
        <v>320</v>
      </c>
      <c r="H444" s="14">
        <f t="shared" si="24"/>
        <v>240</v>
      </c>
      <c r="I444" s="14"/>
      <c r="J444" s="15">
        <f t="shared" si="25"/>
        <v>0</v>
      </c>
      <c r="K444" s="12" t="s">
        <v>232</v>
      </c>
      <c r="L444" s="16" t="str">
        <f t="shared" si="26"/>
        <v>9786269684151</v>
      </c>
      <c r="M444" s="29" t="str">
        <f t="shared" si="27"/>
        <v>https://search.books.com.tw/search/query/key/9786269684151</v>
      </c>
      <c r="N444" s="12" t="s">
        <v>1047</v>
      </c>
      <c r="O444" s="12"/>
      <c r="P444" s="12" t="s">
        <v>45</v>
      </c>
      <c r="Q444" s="17" t="s">
        <v>239</v>
      </c>
    </row>
    <row r="445" spans="1:17" ht="24.9" customHeight="1">
      <c r="A445" s="2"/>
      <c r="B445" s="11" t="s">
        <v>2339</v>
      </c>
      <c r="C445" s="9" t="s">
        <v>2340</v>
      </c>
      <c r="D445" s="12" t="s">
        <v>2341</v>
      </c>
      <c r="E445" s="13" t="s">
        <v>2342</v>
      </c>
      <c r="F445" s="13" t="s">
        <v>2107</v>
      </c>
      <c r="G445" s="14">
        <v>850</v>
      </c>
      <c r="H445" s="14">
        <f t="shared" si="24"/>
        <v>638</v>
      </c>
      <c r="I445" s="14"/>
      <c r="J445" s="15">
        <f t="shared" si="25"/>
        <v>0</v>
      </c>
      <c r="K445" s="12" t="s">
        <v>2343</v>
      </c>
      <c r="L445" s="16" t="str">
        <f t="shared" si="26"/>
        <v>9786267568149</v>
      </c>
      <c r="M445" s="29" t="str">
        <f t="shared" si="27"/>
        <v>https://search.books.com.tw/search/query/key/9786267568149</v>
      </c>
      <c r="N445" s="12" t="s">
        <v>33</v>
      </c>
      <c r="O445" s="12"/>
      <c r="P445" s="12" t="s">
        <v>73</v>
      </c>
      <c r="Q445" s="17" t="s">
        <v>2344</v>
      </c>
    </row>
    <row r="446" spans="1:17" ht="24.9" customHeight="1">
      <c r="A446" s="2"/>
      <c r="B446" s="11" t="s">
        <v>2345</v>
      </c>
      <c r="C446" s="9" t="s">
        <v>2346</v>
      </c>
      <c r="D446" s="12" t="s">
        <v>2347</v>
      </c>
      <c r="E446" s="13" t="s">
        <v>2348</v>
      </c>
      <c r="F446" s="13" t="s">
        <v>2312</v>
      </c>
      <c r="G446" s="14">
        <v>280</v>
      </c>
      <c r="H446" s="14">
        <f t="shared" si="24"/>
        <v>210</v>
      </c>
      <c r="I446" s="14"/>
      <c r="J446" s="15">
        <f t="shared" si="25"/>
        <v>0</v>
      </c>
      <c r="K446" s="12" t="s">
        <v>80</v>
      </c>
      <c r="L446" s="16" t="str">
        <f t="shared" si="26"/>
        <v>9789862943656</v>
      </c>
      <c r="M446" s="29" t="str">
        <f t="shared" si="27"/>
        <v>https://search.books.com.tw/search/query/key/9789862943656</v>
      </c>
      <c r="N446" s="12" t="s">
        <v>33</v>
      </c>
      <c r="O446" s="12"/>
      <c r="P446" s="12" t="s">
        <v>45</v>
      </c>
      <c r="Q446" s="17" t="s">
        <v>1743</v>
      </c>
    </row>
    <row r="447" spans="1:17" ht="24.9" customHeight="1">
      <c r="A447" s="2"/>
      <c r="B447" s="11" t="s">
        <v>2349</v>
      </c>
      <c r="C447" s="9" t="s">
        <v>2350</v>
      </c>
      <c r="D447" s="12" t="s">
        <v>2351</v>
      </c>
      <c r="E447" s="13" t="s">
        <v>2352</v>
      </c>
      <c r="F447" s="13" t="s">
        <v>2353</v>
      </c>
      <c r="G447" s="14">
        <v>380</v>
      </c>
      <c r="H447" s="14">
        <f t="shared" si="24"/>
        <v>285</v>
      </c>
      <c r="I447" s="14"/>
      <c r="J447" s="15">
        <f t="shared" si="25"/>
        <v>0</v>
      </c>
      <c r="K447" s="12" t="s">
        <v>22</v>
      </c>
      <c r="L447" s="16" t="str">
        <f t="shared" si="26"/>
        <v>9786267177266</v>
      </c>
      <c r="M447" s="29" t="str">
        <f t="shared" si="27"/>
        <v>https://search.books.com.tw/search/query/key/9786267177266</v>
      </c>
      <c r="N447" s="12" t="s">
        <v>522</v>
      </c>
      <c r="O447" s="12"/>
      <c r="P447" s="12" t="s">
        <v>45</v>
      </c>
      <c r="Q447" s="17" t="s">
        <v>523</v>
      </c>
    </row>
    <row r="448" spans="1:17" ht="24.9" customHeight="1">
      <c r="A448" s="2"/>
      <c r="B448" s="11" t="s">
        <v>2354</v>
      </c>
      <c r="C448" s="9" t="s">
        <v>2355</v>
      </c>
      <c r="D448" s="12" t="s">
        <v>1299</v>
      </c>
      <c r="E448" s="13" t="s">
        <v>2356</v>
      </c>
      <c r="F448" s="13" t="s">
        <v>2357</v>
      </c>
      <c r="G448" s="14">
        <v>320</v>
      </c>
      <c r="H448" s="14">
        <f t="shared" si="24"/>
        <v>240</v>
      </c>
      <c r="I448" s="14"/>
      <c r="J448" s="15">
        <f t="shared" si="25"/>
        <v>0</v>
      </c>
      <c r="K448" s="12" t="s">
        <v>22</v>
      </c>
      <c r="L448" s="16" t="str">
        <f t="shared" si="26"/>
        <v>9786267043929</v>
      </c>
      <c r="M448" s="29" t="str">
        <f t="shared" si="27"/>
        <v>https://search.books.com.tw/search/query/key/9786267043929</v>
      </c>
      <c r="N448" s="12" t="s">
        <v>343</v>
      </c>
      <c r="O448" s="12"/>
      <c r="P448" s="12" t="s">
        <v>45</v>
      </c>
      <c r="Q448" s="17" t="s">
        <v>523</v>
      </c>
    </row>
    <row r="449" spans="1:17" ht="24.9" customHeight="1">
      <c r="A449" s="2"/>
      <c r="B449" s="11" t="s">
        <v>2358</v>
      </c>
      <c r="C449" s="9" t="s">
        <v>2359</v>
      </c>
      <c r="D449" s="12" t="s">
        <v>2360</v>
      </c>
      <c r="E449" s="13" t="s">
        <v>2361</v>
      </c>
      <c r="F449" s="13" t="s">
        <v>2362</v>
      </c>
      <c r="G449" s="14">
        <v>380</v>
      </c>
      <c r="H449" s="14">
        <f t="shared" si="24"/>
        <v>285</v>
      </c>
      <c r="I449" s="14"/>
      <c r="J449" s="15">
        <f t="shared" si="25"/>
        <v>0</v>
      </c>
      <c r="K449" s="12" t="s">
        <v>22</v>
      </c>
      <c r="L449" s="16" t="str">
        <f t="shared" si="26"/>
        <v>9786267772218</v>
      </c>
      <c r="M449" s="29" t="str">
        <f t="shared" si="27"/>
        <v>https://search.books.com.tw/search/query/key/9786267772218</v>
      </c>
      <c r="N449" s="12" t="s">
        <v>597</v>
      </c>
      <c r="O449" s="12"/>
      <c r="P449" s="12" t="s">
        <v>535</v>
      </c>
      <c r="Q449" s="17" t="s">
        <v>1868</v>
      </c>
    </row>
    <row r="450" spans="1:17" ht="24.9" customHeight="1">
      <c r="A450" s="2"/>
      <c r="B450" s="11" t="s">
        <v>2363</v>
      </c>
      <c r="C450" s="9" t="s">
        <v>2364</v>
      </c>
      <c r="D450" s="12" t="s">
        <v>2365</v>
      </c>
      <c r="E450" s="13" t="s">
        <v>2366</v>
      </c>
      <c r="F450" s="13" t="s">
        <v>2367</v>
      </c>
      <c r="G450" s="14">
        <v>320</v>
      </c>
      <c r="H450" s="14">
        <f t="shared" ref="H450:H513" si="28">ROUND(G450*75%,0)</f>
        <v>240</v>
      </c>
      <c r="I450" s="14"/>
      <c r="J450" s="15">
        <f t="shared" ref="J450:J513" si="29">H450*I450</f>
        <v>0</v>
      </c>
      <c r="K450" s="12" t="s">
        <v>2368</v>
      </c>
      <c r="L450" s="16" t="str">
        <f t="shared" ref="L450:L513" si="30">HYPERLINK(M450,E450)</f>
        <v>9786267609187</v>
      </c>
      <c r="M450" s="29" t="str">
        <f t="shared" ref="M450:M513" si="31">"https://search.books.com.tw/search/query/key/"&amp;E450</f>
        <v>https://search.books.com.tw/search/query/key/9786267609187</v>
      </c>
      <c r="N450" s="12" t="s">
        <v>33</v>
      </c>
      <c r="O450" s="12"/>
      <c r="P450" s="12" t="s">
        <v>45</v>
      </c>
      <c r="Q450" s="17" t="s">
        <v>1230</v>
      </c>
    </row>
    <row r="451" spans="1:17" ht="24.9" customHeight="1">
      <c r="A451" s="2"/>
      <c r="B451" s="11" t="s">
        <v>2369</v>
      </c>
      <c r="C451" s="9" t="s">
        <v>2370</v>
      </c>
      <c r="D451" s="12" t="s">
        <v>2371</v>
      </c>
      <c r="E451" s="13" t="s">
        <v>2372</v>
      </c>
      <c r="F451" s="13" t="s">
        <v>2373</v>
      </c>
      <c r="G451" s="14">
        <v>360</v>
      </c>
      <c r="H451" s="14">
        <f t="shared" si="28"/>
        <v>270</v>
      </c>
      <c r="I451" s="14"/>
      <c r="J451" s="15">
        <f t="shared" si="29"/>
        <v>0</v>
      </c>
      <c r="K451" s="12" t="s">
        <v>596</v>
      </c>
      <c r="L451" s="16" t="str">
        <f t="shared" si="30"/>
        <v>9786264332019</v>
      </c>
      <c r="M451" s="29" t="str">
        <f t="shared" si="31"/>
        <v>https://search.books.com.tw/search/query/key/9786264332019</v>
      </c>
      <c r="N451" s="12" t="s">
        <v>33</v>
      </c>
      <c r="O451" s="12"/>
      <c r="P451" s="12" t="s">
        <v>25</v>
      </c>
      <c r="Q451" s="17" t="s">
        <v>139</v>
      </c>
    </row>
    <row r="452" spans="1:17" ht="24.9" customHeight="1">
      <c r="A452" s="2"/>
      <c r="B452" s="11" t="s">
        <v>2374</v>
      </c>
      <c r="C452" s="9" t="s">
        <v>2375</v>
      </c>
      <c r="D452" s="12" t="s">
        <v>2376</v>
      </c>
      <c r="E452" s="13" t="s">
        <v>2377</v>
      </c>
      <c r="F452" s="13" t="s">
        <v>2378</v>
      </c>
      <c r="G452" s="14">
        <v>450</v>
      </c>
      <c r="H452" s="14">
        <f t="shared" si="28"/>
        <v>338</v>
      </c>
      <c r="I452" s="14"/>
      <c r="J452" s="15">
        <f t="shared" si="29"/>
        <v>0</v>
      </c>
      <c r="K452" s="12" t="s">
        <v>704</v>
      </c>
      <c r="L452" s="16" t="str">
        <f t="shared" si="30"/>
        <v>9786263902145</v>
      </c>
      <c r="M452" s="29" t="str">
        <f t="shared" si="31"/>
        <v>https://search.books.com.tw/search/query/key/9786263902145</v>
      </c>
      <c r="N452" s="12" t="s">
        <v>33</v>
      </c>
      <c r="O452" s="12"/>
      <c r="P452" s="12" t="s">
        <v>35</v>
      </c>
      <c r="Q452" s="17" t="s">
        <v>1492</v>
      </c>
    </row>
    <row r="453" spans="1:17" ht="24.9" customHeight="1">
      <c r="A453" s="2"/>
      <c r="B453" s="11" t="s">
        <v>2379</v>
      </c>
      <c r="C453" s="9" t="s">
        <v>2380</v>
      </c>
      <c r="D453" s="12" t="s">
        <v>2381</v>
      </c>
      <c r="E453" s="13" t="s">
        <v>2382</v>
      </c>
      <c r="F453" s="13" t="s">
        <v>2383</v>
      </c>
      <c r="G453" s="14">
        <v>480</v>
      </c>
      <c r="H453" s="14">
        <f t="shared" si="28"/>
        <v>360</v>
      </c>
      <c r="I453" s="14"/>
      <c r="J453" s="15">
        <f t="shared" si="29"/>
        <v>0</v>
      </c>
      <c r="K453" s="12" t="s">
        <v>150</v>
      </c>
      <c r="L453" s="16" t="str">
        <f t="shared" si="30"/>
        <v>9789862627204</v>
      </c>
      <c r="M453" s="29" t="str">
        <f t="shared" si="31"/>
        <v>https://search.books.com.tw/search/query/key/9789862627204</v>
      </c>
      <c r="N453" s="12" t="s">
        <v>23</v>
      </c>
      <c r="O453" s="12"/>
      <c r="P453" s="12" t="s">
        <v>73</v>
      </c>
      <c r="Q453" s="17" t="s">
        <v>684</v>
      </c>
    </row>
    <row r="454" spans="1:17" ht="24.9" customHeight="1">
      <c r="A454" s="2"/>
      <c r="B454" s="11" t="s">
        <v>2384</v>
      </c>
      <c r="C454" s="9" t="s">
        <v>2385</v>
      </c>
      <c r="D454" s="12" t="s">
        <v>2386</v>
      </c>
      <c r="E454" s="13" t="s">
        <v>2387</v>
      </c>
      <c r="F454" s="13" t="s">
        <v>2388</v>
      </c>
      <c r="G454" s="14">
        <v>300</v>
      </c>
      <c r="H454" s="14">
        <f t="shared" si="28"/>
        <v>225</v>
      </c>
      <c r="I454" s="14"/>
      <c r="J454" s="15">
        <f t="shared" si="29"/>
        <v>0</v>
      </c>
      <c r="K454" s="12" t="s">
        <v>2389</v>
      </c>
      <c r="L454" s="16" t="str">
        <f t="shared" si="30"/>
        <v>9789865450625</v>
      </c>
      <c r="M454" s="29" t="str">
        <f t="shared" si="31"/>
        <v>https://search.books.com.tw/search/query/key/9789865450625</v>
      </c>
      <c r="N454" s="12" t="s">
        <v>43</v>
      </c>
      <c r="O454" s="12"/>
      <c r="P454" s="12" t="s">
        <v>45</v>
      </c>
      <c r="Q454" s="17" t="s">
        <v>2390</v>
      </c>
    </row>
    <row r="455" spans="1:17" ht="24.9" customHeight="1">
      <c r="A455" s="2"/>
      <c r="B455" s="11" t="s">
        <v>2391</v>
      </c>
      <c r="C455" s="9" t="s">
        <v>2392</v>
      </c>
      <c r="D455" s="12" t="s">
        <v>2393</v>
      </c>
      <c r="E455" s="13" t="s">
        <v>2394</v>
      </c>
      <c r="F455" s="13" t="s">
        <v>1724</v>
      </c>
      <c r="G455" s="14">
        <v>350</v>
      </c>
      <c r="H455" s="14">
        <f t="shared" si="28"/>
        <v>263</v>
      </c>
      <c r="I455" s="14"/>
      <c r="J455" s="15">
        <f t="shared" si="29"/>
        <v>0</v>
      </c>
      <c r="K455" s="12" t="s">
        <v>2395</v>
      </c>
      <c r="L455" s="16" t="str">
        <f t="shared" si="30"/>
        <v>9786269952731</v>
      </c>
      <c r="M455" s="29" t="str">
        <f t="shared" si="31"/>
        <v>https://search.books.com.tw/search/query/key/9786269952731</v>
      </c>
      <c r="N455" s="12" t="s">
        <v>343</v>
      </c>
      <c r="O455" s="12"/>
      <c r="P455" s="12" t="s">
        <v>73</v>
      </c>
      <c r="Q455" s="17" t="s">
        <v>1952</v>
      </c>
    </row>
    <row r="456" spans="1:17" ht="24.9" customHeight="1">
      <c r="A456" s="2"/>
      <c r="B456" s="11" t="s">
        <v>2396</v>
      </c>
      <c r="C456" s="9" t="s">
        <v>2397</v>
      </c>
      <c r="D456" s="12" t="s">
        <v>2398</v>
      </c>
      <c r="E456" s="13" t="s">
        <v>2399</v>
      </c>
      <c r="F456" s="13" t="s">
        <v>1730</v>
      </c>
      <c r="G456" s="14">
        <v>420</v>
      </c>
      <c r="H456" s="14">
        <f t="shared" si="28"/>
        <v>315</v>
      </c>
      <c r="I456" s="14"/>
      <c r="J456" s="15">
        <f t="shared" si="29"/>
        <v>0</v>
      </c>
      <c r="K456" s="12" t="s">
        <v>2400</v>
      </c>
      <c r="L456" s="16" t="str">
        <f t="shared" si="30"/>
        <v>9786267828434</v>
      </c>
      <c r="M456" s="29" t="str">
        <f t="shared" si="31"/>
        <v>https://search.books.com.tw/search/query/key/9786267828434</v>
      </c>
      <c r="N456" s="12" t="s">
        <v>522</v>
      </c>
      <c r="O456" s="12"/>
      <c r="P456" s="12" t="s">
        <v>45</v>
      </c>
      <c r="Q456" s="17" t="s">
        <v>523</v>
      </c>
    </row>
    <row r="457" spans="1:17" ht="24.9" customHeight="1">
      <c r="A457" s="2"/>
      <c r="B457" s="11" t="s">
        <v>2401</v>
      </c>
      <c r="C457" s="9" t="s">
        <v>2402</v>
      </c>
      <c r="D457" s="12" t="s">
        <v>2403</v>
      </c>
      <c r="E457" s="13" t="s">
        <v>2404</v>
      </c>
      <c r="F457" s="13" t="s">
        <v>2405</v>
      </c>
      <c r="G457" s="14">
        <v>490</v>
      </c>
      <c r="H457" s="14">
        <f t="shared" si="28"/>
        <v>368</v>
      </c>
      <c r="I457" s="14"/>
      <c r="J457" s="15">
        <f t="shared" si="29"/>
        <v>0</v>
      </c>
      <c r="K457" s="12" t="s">
        <v>349</v>
      </c>
      <c r="L457" s="16" t="str">
        <f t="shared" si="30"/>
        <v>9786263203969</v>
      </c>
      <c r="M457" s="29" t="str">
        <f t="shared" si="31"/>
        <v>https://search.books.com.tw/search/query/key/9786263203969</v>
      </c>
      <c r="N457" s="12" t="s">
        <v>33</v>
      </c>
      <c r="O457" s="12"/>
      <c r="P457" s="12" t="s">
        <v>25</v>
      </c>
      <c r="Q457" s="17" t="s">
        <v>2406</v>
      </c>
    </row>
    <row r="458" spans="1:17" ht="24.9" customHeight="1">
      <c r="A458" s="2"/>
      <c r="B458" s="11" t="s">
        <v>2407</v>
      </c>
      <c r="C458" s="9" t="s">
        <v>2408</v>
      </c>
      <c r="D458" s="12" t="s">
        <v>2409</v>
      </c>
      <c r="E458" s="13" t="s">
        <v>2410</v>
      </c>
      <c r="F458" s="13" t="s">
        <v>2411</v>
      </c>
      <c r="G458" s="14">
        <v>360</v>
      </c>
      <c r="H458" s="14">
        <f t="shared" si="28"/>
        <v>270</v>
      </c>
      <c r="I458" s="14"/>
      <c r="J458" s="15">
        <f t="shared" si="29"/>
        <v>0</v>
      </c>
      <c r="K458" s="12" t="s">
        <v>2288</v>
      </c>
      <c r="L458" s="16" t="str">
        <f t="shared" si="30"/>
        <v>9789865556570</v>
      </c>
      <c r="M458" s="29" t="str">
        <f t="shared" si="31"/>
        <v>https://search.books.com.tw/search/query/key/9789865556570</v>
      </c>
      <c r="N458" s="12" t="s">
        <v>522</v>
      </c>
      <c r="O458" s="12"/>
      <c r="P458" s="12" t="s">
        <v>45</v>
      </c>
      <c r="Q458" s="17" t="s">
        <v>523</v>
      </c>
    </row>
    <row r="459" spans="1:17" ht="24.9" customHeight="1">
      <c r="A459" s="2"/>
      <c r="B459" s="11" t="s">
        <v>2412</v>
      </c>
      <c r="C459" s="9" t="s">
        <v>2413</v>
      </c>
      <c r="D459" s="12" t="s">
        <v>2409</v>
      </c>
      <c r="E459" s="13" t="s">
        <v>2414</v>
      </c>
      <c r="F459" s="13" t="s">
        <v>2411</v>
      </c>
      <c r="G459" s="14">
        <v>360</v>
      </c>
      <c r="H459" s="14">
        <f t="shared" si="28"/>
        <v>270</v>
      </c>
      <c r="I459" s="14"/>
      <c r="J459" s="15">
        <f t="shared" si="29"/>
        <v>0</v>
      </c>
      <c r="K459" s="12" t="s">
        <v>2288</v>
      </c>
      <c r="L459" s="16" t="str">
        <f t="shared" si="30"/>
        <v>9789865556587</v>
      </c>
      <c r="M459" s="29" t="str">
        <f t="shared" si="31"/>
        <v>https://search.books.com.tw/search/query/key/9789865556587</v>
      </c>
      <c r="N459" s="12" t="s">
        <v>522</v>
      </c>
      <c r="O459" s="12"/>
      <c r="P459" s="12" t="s">
        <v>45</v>
      </c>
      <c r="Q459" s="17" t="s">
        <v>523</v>
      </c>
    </row>
    <row r="460" spans="1:17" ht="24.9" customHeight="1">
      <c r="A460" s="2"/>
      <c r="B460" s="11" t="s">
        <v>2415</v>
      </c>
      <c r="C460" s="9" t="s">
        <v>2416</v>
      </c>
      <c r="D460" s="12" t="s">
        <v>2417</v>
      </c>
      <c r="E460" s="13" t="s">
        <v>2418</v>
      </c>
      <c r="F460" s="13" t="s">
        <v>2419</v>
      </c>
      <c r="G460" s="14">
        <v>360</v>
      </c>
      <c r="H460" s="14">
        <f t="shared" si="28"/>
        <v>270</v>
      </c>
      <c r="I460" s="14"/>
      <c r="J460" s="15">
        <f t="shared" si="29"/>
        <v>0</v>
      </c>
      <c r="K460" s="12" t="s">
        <v>337</v>
      </c>
      <c r="L460" s="16" t="str">
        <f t="shared" si="30"/>
        <v>4711488871926</v>
      </c>
      <c r="M460" s="29" t="str">
        <f t="shared" si="31"/>
        <v>https://search.books.com.tw/search/query/key/4711488871926</v>
      </c>
      <c r="N460" s="12" t="s">
        <v>343</v>
      </c>
      <c r="O460" s="12"/>
      <c r="P460" s="12" t="s">
        <v>45</v>
      </c>
      <c r="Q460" s="17" t="s">
        <v>523</v>
      </c>
    </row>
    <row r="461" spans="1:17" ht="24.9" customHeight="1">
      <c r="A461" s="2"/>
      <c r="B461" s="11" t="s">
        <v>2420</v>
      </c>
      <c r="C461" s="9" t="s">
        <v>2421</v>
      </c>
      <c r="D461" s="12" t="s">
        <v>2422</v>
      </c>
      <c r="E461" s="13" t="s">
        <v>2423</v>
      </c>
      <c r="F461" s="13" t="s">
        <v>2424</v>
      </c>
      <c r="G461" s="14">
        <v>360</v>
      </c>
      <c r="H461" s="14">
        <f t="shared" si="28"/>
        <v>270</v>
      </c>
      <c r="I461" s="14"/>
      <c r="J461" s="15">
        <f t="shared" si="29"/>
        <v>0</v>
      </c>
      <c r="K461" s="12" t="s">
        <v>42</v>
      </c>
      <c r="L461" s="16" t="str">
        <f t="shared" si="30"/>
        <v>9789570877700</v>
      </c>
      <c r="M461" s="29" t="str">
        <f t="shared" si="31"/>
        <v>https://search.books.com.tw/search/query/key/9789570877700</v>
      </c>
      <c r="N461" s="12" t="s">
        <v>343</v>
      </c>
      <c r="O461" s="12"/>
      <c r="P461" s="12" t="s">
        <v>45</v>
      </c>
      <c r="Q461" s="17" t="s">
        <v>523</v>
      </c>
    </row>
    <row r="462" spans="1:17" ht="24.9" customHeight="1">
      <c r="A462" s="2"/>
      <c r="B462" s="11" t="s">
        <v>2425</v>
      </c>
      <c r="C462" s="9" t="s">
        <v>2426</v>
      </c>
      <c r="D462" s="12" t="s">
        <v>1299</v>
      </c>
      <c r="E462" s="13" t="s">
        <v>2427</v>
      </c>
      <c r="F462" s="13" t="s">
        <v>2357</v>
      </c>
      <c r="G462" s="14">
        <v>320</v>
      </c>
      <c r="H462" s="14">
        <f t="shared" si="28"/>
        <v>240</v>
      </c>
      <c r="I462" s="14"/>
      <c r="J462" s="15">
        <f t="shared" si="29"/>
        <v>0</v>
      </c>
      <c r="K462" s="12" t="s">
        <v>22</v>
      </c>
      <c r="L462" s="16" t="str">
        <f t="shared" si="30"/>
        <v>9786267043011</v>
      </c>
      <c r="M462" s="29" t="str">
        <f t="shared" si="31"/>
        <v>https://search.books.com.tw/search/query/key/9786267043011</v>
      </c>
      <c r="N462" s="12" t="s">
        <v>343</v>
      </c>
      <c r="O462" s="12"/>
      <c r="P462" s="12" t="s">
        <v>45</v>
      </c>
      <c r="Q462" s="17" t="s">
        <v>2278</v>
      </c>
    </row>
    <row r="463" spans="1:17" ht="24.9" customHeight="1">
      <c r="A463" s="2"/>
      <c r="B463" s="11" t="s">
        <v>2428</v>
      </c>
      <c r="C463" s="9" t="s">
        <v>2429</v>
      </c>
      <c r="D463" s="12" t="s">
        <v>2430</v>
      </c>
      <c r="E463" s="13" t="s">
        <v>2431</v>
      </c>
      <c r="F463" s="13" t="s">
        <v>1997</v>
      </c>
      <c r="G463" s="14">
        <v>300</v>
      </c>
      <c r="H463" s="14">
        <f t="shared" si="28"/>
        <v>225</v>
      </c>
      <c r="I463" s="14"/>
      <c r="J463" s="15">
        <f t="shared" si="29"/>
        <v>0</v>
      </c>
      <c r="K463" s="12" t="s">
        <v>80</v>
      </c>
      <c r="L463" s="16" t="str">
        <f t="shared" si="30"/>
        <v>9789860551792</v>
      </c>
      <c r="M463" s="29" t="str">
        <f t="shared" si="31"/>
        <v>https://search.books.com.tw/search/query/key/9789860551792</v>
      </c>
      <c r="N463" s="12" t="s">
        <v>33</v>
      </c>
      <c r="O463" s="12"/>
      <c r="P463" s="12" t="s">
        <v>535</v>
      </c>
      <c r="Q463" s="17" t="s">
        <v>74</v>
      </c>
    </row>
    <row r="464" spans="1:17" ht="24.9" customHeight="1">
      <c r="A464" s="2"/>
      <c r="B464" s="11" t="s">
        <v>2432</v>
      </c>
      <c r="C464" s="9" t="s">
        <v>2433</v>
      </c>
      <c r="D464" s="12" t="s">
        <v>2434</v>
      </c>
      <c r="E464" s="13" t="s">
        <v>2435</v>
      </c>
      <c r="F464" s="13" t="s">
        <v>164</v>
      </c>
      <c r="G464" s="14">
        <v>280</v>
      </c>
      <c r="H464" s="14">
        <f t="shared" si="28"/>
        <v>210</v>
      </c>
      <c r="I464" s="14"/>
      <c r="J464" s="15">
        <f t="shared" si="29"/>
        <v>0</v>
      </c>
      <c r="K464" s="12" t="s">
        <v>80</v>
      </c>
      <c r="L464" s="16" t="str">
        <f t="shared" si="30"/>
        <v>9789862941256</v>
      </c>
      <c r="M464" s="29" t="str">
        <f t="shared" si="31"/>
        <v>https://search.books.com.tw/search/query/key/9789862941256</v>
      </c>
      <c r="N464" s="12" t="s">
        <v>43</v>
      </c>
      <c r="O464" s="12"/>
      <c r="P464" s="12" t="s">
        <v>45</v>
      </c>
      <c r="Q464" s="17" t="s">
        <v>2390</v>
      </c>
    </row>
    <row r="465" spans="1:17" ht="24.9" customHeight="1">
      <c r="A465" s="2"/>
      <c r="B465" s="11" t="s">
        <v>2436</v>
      </c>
      <c r="C465" s="9" t="s">
        <v>2437</v>
      </c>
      <c r="D465" s="12" t="s">
        <v>2438</v>
      </c>
      <c r="E465" s="13" t="s">
        <v>2439</v>
      </c>
      <c r="F465" s="13" t="s">
        <v>2440</v>
      </c>
      <c r="G465" s="14">
        <v>320</v>
      </c>
      <c r="H465" s="14">
        <f t="shared" si="28"/>
        <v>240</v>
      </c>
      <c r="I465" s="14"/>
      <c r="J465" s="15">
        <f t="shared" si="29"/>
        <v>0</v>
      </c>
      <c r="K465" s="12" t="s">
        <v>22</v>
      </c>
      <c r="L465" s="16" t="str">
        <f t="shared" si="30"/>
        <v>9786267043547</v>
      </c>
      <c r="M465" s="29" t="str">
        <f t="shared" si="31"/>
        <v>https://search.books.com.tw/search/query/key/9786267043547</v>
      </c>
      <c r="N465" s="12" t="s">
        <v>43</v>
      </c>
      <c r="O465" s="12"/>
      <c r="P465" s="12" t="s">
        <v>45</v>
      </c>
      <c r="Q465" s="17" t="s">
        <v>2441</v>
      </c>
    </row>
    <row r="466" spans="1:17" ht="24.9" customHeight="1">
      <c r="A466" s="2"/>
      <c r="B466" s="11" t="s">
        <v>2442</v>
      </c>
      <c r="C466" s="9" t="s">
        <v>2443</v>
      </c>
      <c r="D466" s="12" t="s">
        <v>2444</v>
      </c>
      <c r="E466" s="13" t="s">
        <v>2445</v>
      </c>
      <c r="F466" s="13" t="s">
        <v>1924</v>
      </c>
      <c r="G466" s="14">
        <v>380</v>
      </c>
      <c r="H466" s="14">
        <f t="shared" si="28"/>
        <v>285</v>
      </c>
      <c r="I466" s="14"/>
      <c r="J466" s="15">
        <f t="shared" si="29"/>
        <v>0</v>
      </c>
      <c r="K466" s="12" t="s">
        <v>22</v>
      </c>
      <c r="L466" s="16" t="str">
        <f t="shared" si="30"/>
        <v>9786267467572</v>
      </c>
      <c r="M466" s="29" t="str">
        <f t="shared" si="31"/>
        <v>https://search.books.com.tw/search/query/key/9786267467572</v>
      </c>
      <c r="N466" s="12" t="s">
        <v>343</v>
      </c>
      <c r="O466" s="12"/>
      <c r="P466" s="12" t="s">
        <v>45</v>
      </c>
      <c r="Q466" s="17" t="s">
        <v>1210</v>
      </c>
    </row>
    <row r="467" spans="1:17" ht="24.9" customHeight="1">
      <c r="A467" s="2"/>
      <c r="B467" s="11" t="s">
        <v>2446</v>
      </c>
      <c r="C467" s="9" t="s">
        <v>2447</v>
      </c>
      <c r="D467" s="12" t="s">
        <v>519</v>
      </c>
      <c r="E467" s="13" t="s">
        <v>2448</v>
      </c>
      <c r="F467" s="13" t="s">
        <v>2449</v>
      </c>
      <c r="G467" s="14">
        <v>920</v>
      </c>
      <c r="H467" s="14">
        <f t="shared" si="28"/>
        <v>690</v>
      </c>
      <c r="I467" s="14"/>
      <c r="J467" s="15">
        <f t="shared" si="29"/>
        <v>0</v>
      </c>
      <c r="K467" s="12" t="s">
        <v>42</v>
      </c>
      <c r="L467" s="16" t="str">
        <f t="shared" si="30"/>
        <v>4711132384772</v>
      </c>
      <c r="M467" s="29" t="str">
        <f t="shared" si="31"/>
        <v>https://search.books.com.tw/search/query/key/4711132384772</v>
      </c>
      <c r="N467" s="12" t="s">
        <v>522</v>
      </c>
      <c r="O467" s="12"/>
      <c r="P467" s="12" t="s">
        <v>45</v>
      </c>
      <c r="Q467" s="17" t="s">
        <v>605</v>
      </c>
    </row>
    <row r="468" spans="1:17" ht="24.9" customHeight="1">
      <c r="A468" s="2"/>
      <c r="B468" s="11" t="s">
        <v>2450</v>
      </c>
      <c r="C468" s="9" t="s">
        <v>2451</v>
      </c>
      <c r="D468" s="12" t="s">
        <v>672</v>
      </c>
      <c r="E468" s="13" t="s">
        <v>2452</v>
      </c>
      <c r="F468" s="13" t="s">
        <v>674</v>
      </c>
      <c r="G468" s="14">
        <v>320</v>
      </c>
      <c r="H468" s="14">
        <f t="shared" si="28"/>
        <v>240</v>
      </c>
      <c r="I468" s="14"/>
      <c r="J468" s="15">
        <f t="shared" si="29"/>
        <v>0</v>
      </c>
      <c r="K468" s="12" t="s">
        <v>675</v>
      </c>
      <c r="L468" s="16" t="str">
        <f t="shared" si="30"/>
        <v>9786267069783</v>
      </c>
      <c r="M468" s="29" t="str">
        <f t="shared" si="31"/>
        <v>https://search.books.com.tw/search/query/key/9786267069783</v>
      </c>
      <c r="N468" s="12" t="s">
        <v>343</v>
      </c>
      <c r="O468" s="12"/>
      <c r="P468" s="12" t="s">
        <v>45</v>
      </c>
      <c r="Q468" s="17" t="s">
        <v>677</v>
      </c>
    </row>
    <row r="469" spans="1:17" ht="24.9" customHeight="1">
      <c r="A469" s="2"/>
      <c r="B469" s="11" t="s">
        <v>2453</v>
      </c>
      <c r="C469" s="9" t="s">
        <v>2454</v>
      </c>
      <c r="D469" s="12" t="s">
        <v>672</v>
      </c>
      <c r="E469" s="13" t="s">
        <v>2455</v>
      </c>
      <c r="F469" s="13" t="s">
        <v>674</v>
      </c>
      <c r="G469" s="14">
        <v>320</v>
      </c>
      <c r="H469" s="14">
        <f t="shared" si="28"/>
        <v>240</v>
      </c>
      <c r="I469" s="14"/>
      <c r="J469" s="15">
        <f t="shared" si="29"/>
        <v>0</v>
      </c>
      <c r="K469" s="12" t="s">
        <v>675</v>
      </c>
      <c r="L469" s="16" t="str">
        <f t="shared" si="30"/>
        <v>9786267069776</v>
      </c>
      <c r="M469" s="29" t="str">
        <f t="shared" si="31"/>
        <v>https://search.books.com.tw/search/query/key/9786267069776</v>
      </c>
      <c r="N469" s="12" t="s">
        <v>343</v>
      </c>
      <c r="O469" s="12"/>
      <c r="P469" s="12" t="s">
        <v>45</v>
      </c>
      <c r="Q469" s="17" t="s">
        <v>677</v>
      </c>
    </row>
    <row r="470" spans="1:17" ht="24.9" customHeight="1">
      <c r="A470" s="2"/>
      <c r="B470" s="11" t="s">
        <v>2456</v>
      </c>
      <c r="C470" s="9" t="s">
        <v>2457</v>
      </c>
      <c r="D470" s="12" t="s">
        <v>2458</v>
      </c>
      <c r="E470" s="13" t="s">
        <v>2459</v>
      </c>
      <c r="F470" s="13" t="s">
        <v>2460</v>
      </c>
      <c r="G470" s="14">
        <v>300</v>
      </c>
      <c r="H470" s="14">
        <f t="shared" si="28"/>
        <v>225</v>
      </c>
      <c r="I470" s="14"/>
      <c r="J470" s="15">
        <f t="shared" si="29"/>
        <v>0</v>
      </c>
      <c r="K470" s="12" t="s">
        <v>2461</v>
      </c>
      <c r="L470" s="16" t="str">
        <f t="shared" si="30"/>
        <v>9786267060742</v>
      </c>
      <c r="M470" s="29" t="str">
        <f t="shared" si="31"/>
        <v>https://search.books.com.tw/search/query/key/9786267060742</v>
      </c>
      <c r="N470" s="12" t="s">
        <v>1840</v>
      </c>
      <c r="O470" s="12"/>
      <c r="P470" s="12" t="s">
        <v>45</v>
      </c>
      <c r="Q470" s="17" t="s">
        <v>1462</v>
      </c>
    </row>
    <row r="471" spans="1:17" ht="24.9" customHeight="1">
      <c r="A471" s="2"/>
      <c r="B471" s="11" t="s">
        <v>2462</v>
      </c>
      <c r="C471" s="9" t="s">
        <v>2463</v>
      </c>
      <c r="D471" s="12" t="s">
        <v>608</v>
      </c>
      <c r="E471" s="13" t="s">
        <v>2464</v>
      </c>
      <c r="F471" s="13" t="s">
        <v>2465</v>
      </c>
      <c r="G471" s="14">
        <v>280</v>
      </c>
      <c r="H471" s="14">
        <f t="shared" si="28"/>
        <v>210</v>
      </c>
      <c r="I471" s="14"/>
      <c r="J471" s="15">
        <f t="shared" si="29"/>
        <v>0</v>
      </c>
      <c r="K471" s="12" t="s">
        <v>22</v>
      </c>
      <c r="L471" s="16" t="str">
        <f t="shared" si="30"/>
        <v>9789862117873</v>
      </c>
      <c r="M471" s="29" t="str">
        <f t="shared" si="31"/>
        <v>https://search.books.com.tw/search/query/key/9789862117873</v>
      </c>
      <c r="N471" s="12" t="s">
        <v>43</v>
      </c>
      <c r="O471" s="12"/>
      <c r="P471" s="12" t="s">
        <v>45</v>
      </c>
      <c r="Q471" s="17" t="s">
        <v>46</v>
      </c>
    </row>
    <row r="472" spans="1:17" ht="24.9" customHeight="1">
      <c r="A472" s="2"/>
      <c r="B472" s="11" t="s">
        <v>2466</v>
      </c>
      <c r="C472" s="9" t="s">
        <v>2467</v>
      </c>
      <c r="D472" s="12" t="s">
        <v>2468</v>
      </c>
      <c r="E472" s="13" t="s">
        <v>2469</v>
      </c>
      <c r="F472" s="13" t="s">
        <v>896</v>
      </c>
      <c r="G472" s="14">
        <v>450</v>
      </c>
      <c r="H472" s="14">
        <f t="shared" si="28"/>
        <v>338</v>
      </c>
      <c r="I472" s="14"/>
      <c r="J472" s="15">
        <f t="shared" si="29"/>
        <v>0</v>
      </c>
      <c r="K472" s="12" t="s">
        <v>2470</v>
      </c>
      <c r="L472" s="16" t="str">
        <f t="shared" si="30"/>
        <v>9786267626085</v>
      </c>
      <c r="M472" s="29" t="str">
        <f t="shared" si="31"/>
        <v>https://search.books.com.tw/search/query/key/9786267626085</v>
      </c>
      <c r="N472" s="12" t="s">
        <v>597</v>
      </c>
      <c r="O472" s="12"/>
      <c r="P472" s="12" t="s">
        <v>535</v>
      </c>
      <c r="Q472" s="17" t="s">
        <v>1514</v>
      </c>
    </row>
    <row r="473" spans="1:17" ht="24.9" customHeight="1">
      <c r="A473" s="2"/>
      <c r="B473" s="11" t="s">
        <v>2471</v>
      </c>
      <c r="C473" s="9" t="s">
        <v>2472</v>
      </c>
      <c r="D473" s="12" t="s">
        <v>2473</v>
      </c>
      <c r="E473" s="13" t="s">
        <v>2474</v>
      </c>
      <c r="F473" s="13" t="s">
        <v>1536</v>
      </c>
      <c r="G473" s="14">
        <v>350</v>
      </c>
      <c r="H473" s="14">
        <f t="shared" si="28"/>
        <v>263</v>
      </c>
      <c r="I473" s="14"/>
      <c r="J473" s="15">
        <f t="shared" si="29"/>
        <v>0</v>
      </c>
      <c r="K473" s="12" t="s">
        <v>32</v>
      </c>
      <c r="L473" s="16" t="str">
        <f t="shared" si="30"/>
        <v>9789865659547</v>
      </c>
      <c r="M473" s="29" t="str">
        <f t="shared" si="31"/>
        <v>https://search.books.com.tw/search/query/key/9789865659547</v>
      </c>
      <c r="N473" s="12" t="s">
        <v>33</v>
      </c>
      <c r="O473" s="12"/>
      <c r="P473" s="12" t="s">
        <v>45</v>
      </c>
      <c r="Q473" s="17" t="s">
        <v>2475</v>
      </c>
    </row>
    <row r="474" spans="1:17" ht="24.9" customHeight="1">
      <c r="A474" s="2"/>
      <c r="B474" s="11" t="s">
        <v>2476</v>
      </c>
      <c r="C474" s="9" t="s">
        <v>2477</v>
      </c>
      <c r="D474" s="12" t="s">
        <v>2478</v>
      </c>
      <c r="E474" s="13" t="s">
        <v>2479</v>
      </c>
      <c r="F474" s="13" t="s">
        <v>2480</v>
      </c>
      <c r="G474" s="14">
        <v>330</v>
      </c>
      <c r="H474" s="14">
        <f t="shared" si="28"/>
        <v>248</v>
      </c>
      <c r="I474" s="14"/>
      <c r="J474" s="15">
        <f t="shared" si="29"/>
        <v>0</v>
      </c>
      <c r="K474" s="12" t="s">
        <v>2481</v>
      </c>
      <c r="L474" s="16" t="str">
        <f t="shared" si="30"/>
        <v>9789863232223</v>
      </c>
      <c r="M474" s="29" t="str">
        <f t="shared" si="31"/>
        <v>https://search.books.com.tw/search/query/key/9789863232223</v>
      </c>
      <c r="N474" s="12" t="s">
        <v>33</v>
      </c>
      <c r="O474" s="12"/>
      <c r="P474" s="12" t="s">
        <v>45</v>
      </c>
      <c r="Q474" s="17" t="s">
        <v>52</v>
      </c>
    </row>
    <row r="475" spans="1:17" ht="24.9" customHeight="1">
      <c r="A475" s="2"/>
      <c r="B475" s="11" t="s">
        <v>2482</v>
      </c>
      <c r="C475" s="9" t="s">
        <v>2483</v>
      </c>
      <c r="D475" s="12" t="s">
        <v>2484</v>
      </c>
      <c r="E475" s="13" t="s">
        <v>2485</v>
      </c>
      <c r="F475" s="13" t="s">
        <v>2486</v>
      </c>
      <c r="G475" s="14">
        <v>380</v>
      </c>
      <c r="H475" s="14">
        <f t="shared" si="28"/>
        <v>285</v>
      </c>
      <c r="I475" s="14"/>
      <c r="J475" s="15">
        <f t="shared" si="29"/>
        <v>0</v>
      </c>
      <c r="K475" s="12" t="s">
        <v>567</v>
      </c>
      <c r="L475" s="16" t="str">
        <f t="shared" si="30"/>
        <v>4711441071721</v>
      </c>
      <c r="M475" s="29" t="str">
        <f t="shared" si="31"/>
        <v>https://search.books.com.tw/search/query/key/4711441071721</v>
      </c>
      <c r="N475" s="12" t="s">
        <v>2487</v>
      </c>
      <c r="O475" s="12"/>
      <c r="P475" s="12" t="s">
        <v>45</v>
      </c>
      <c r="Q475" s="17" t="s">
        <v>2488</v>
      </c>
    </row>
    <row r="476" spans="1:17" ht="24.9" customHeight="1">
      <c r="A476" s="2"/>
      <c r="B476" s="11" t="s">
        <v>2489</v>
      </c>
      <c r="C476" s="9" t="s">
        <v>2490</v>
      </c>
      <c r="D476" s="12" t="s">
        <v>2484</v>
      </c>
      <c r="E476" s="13" t="s">
        <v>2491</v>
      </c>
      <c r="F476" s="13" t="s">
        <v>2492</v>
      </c>
      <c r="G476" s="14">
        <v>380</v>
      </c>
      <c r="H476" s="14">
        <f t="shared" si="28"/>
        <v>285</v>
      </c>
      <c r="I476" s="14"/>
      <c r="J476" s="15">
        <f t="shared" si="29"/>
        <v>0</v>
      </c>
      <c r="K476" s="12" t="s">
        <v>567</v>
      </c>
      <c r="L476" s="16" t="str">
        <f t="shared" si="30"/>
        <v>4711441071325</v>
      </c>
      <c r="M476" s="29" t="str">
        <f t="shared" si="31"/>
        <v>https://search.books.com.tw/search/query/key/4711441071325</v>
      </c>
      <c r="N476" s="12" t="s">
        <v>33</v>
      </c>
      <c r="O476" s="12"/>
      <c r="P476" s="12" t="s">
        <v>45</v>
      </c>
      <c r="Q476" s="17" t="s">
        <v>2493</v>
      </c>
    </row>
    <row r="477" spans="1:17" ht="24.9" customHeight="1">
      <c r="A477" s="2"/>
      <c r="B477" s="11" t="s">
        <v>2494</v>
      </c>
      <c r="C477" s="9" t="s">
        <v>2495</v>
      </c>
      <c r="D477" s="12" t="s">
        <v>2496</v>
      </c>
      <c r="E477" s="13" t="s">
        <v>2497</v>
      </c>
      <c r="F477" s="13" t="s">
        <v>2498</v>
      </c>
      <c r="G477" s="14">
        <v>250</v>
      </c>
      <c r="H477" s="14">
        <f t="shared" si="28"/>
        <v>188</v>
      </c>
      <c r="I477" s="14"/>
      <c r="J477" s="15">
        <f t="shared" si="29"/>
        <v>0</v>
      </c>
      <c r="K477" s="12" t="s">
        <v>80</v>
      </c>
      <c r="L477" s="16" t="str">
        <f t="shared" si="30"/>
        <v>9789862941058</v>
      </c>
      <c r="M477" s="29" t="str">
        <f t="shared" si="31"/>
        <v>https://search.books.com.tw/search/query/key/9789862941058</v>
      </c>
      <c r="N477" s="12" t="s">
        <v>33</v>
      </c>
      <c r="O477" s="12"/>
      <c r="P477" s="12" t="s">
        <v>45</v>
      </c>
      <c r="Q477" s="17" t="s">
        <v>52</v>
      </c>
    </row>
    <row r="478" spans="1:17" ht="24.9" customHeight="1">
      <c r="A478" s="2"/>
      <c r="B478" s="11" t="s">
        <v>2499</v>
      </c>
      <c r="C478" s="9" t="s">
        <v>2500</v>
      </c>
      <c r="D478" s="12" t="s">
        <v>1922</v>
      </c>
      <c r="E478" s="13" t="s">
        <v>2501</v>
      </c>
      <c r="F478" s="13" t="s">
        <v>1079</v>
      </c>
      <c r="G478" s="14">
        <v>630</v>
      </c>
      <c r="H478" s="14">
        <f t="shared" si="28"/>
        <v>473</v>
      </c>
      <c r="I478" s="14"/>
      <c r="J478" s="15">
        <f t="shared" si="29"/>
        <v>0</v>
      </c>
      <c r="K478" s="12" t="s">
        <v>596</v>
      </c>
      <c r="L478" s="16" t="str">
        <f t="shared" si="30"/>
        <v>9786264330770</v>
      </c>
      <c r="M478" s="29" t="str">
        <f t="shared" si="31"/>
        <v>https://search.books.com.tw/search/query/key/9786264330770</v>
      </c>
      <c r="N478" s="12" t="s">
        <v>33</v>
      </c>
      <c r="O478" s="12"/>
      <c r="P478" s="12" t="s">
        <v>45</v>
      </c>
      <c r="Q478" s="17" t="s">
        <v>1799</v>
      </c>
    </row>
    <row r="479" spans="1:17" ht="24.9" customHeight="1">
      <c r="A479" s="2"/>
      <c r="B479" s="11" t="s">
        <v>2502</v>
      </c>
      <c r="C479" s="9" t="s">
        <v>2503</v>
      </c>
      <c r="D479" s="12" t="s">
        <v>2504</v>
      </c>
      <c r="E479" s="13" t="s">
        <v>2505</v>
      </c>
      <c r="F479" s="13" t="s">
        <v>2506</v>
      </c>
      <c r="G479" s="14">
        <v>350</v>
      </c>
      <c r="H479" s="14">
        <f t="shared" si="28"/>
        <v>263</v>
      </c>
      <c r="I479" s="14"/>
      <c r="J479" s="15">
        <f t="shared" si="29"/>
        <v>0</v>
      </c>
      <c r="K479" s="12" t="s">
        <v>22</v>
      </c>
      <c r="L479" s="16" t="str">
        <f t="shared" si="30"/>
        <v>9786267127681</v>
      </c>
      <c r="M479" s="29" t="str">
        <f t="shared" si="31"/>
        <v>https://search.books.com.tw/search/query/key/9786267127681</v>
      </c>
      <c r="N479" s="12" t="s">
        <v>43</v>
      </c>
      <c r="O479" s="12"/>
      <c r="P479" s="12" t="s">
        <v>45</v>
      </c>
      <c r="Q479" s="17" t="s">
        <v>2507</v>
      </c>
    </row>
    <row r="480" spans="1:17" ht="24.9" customHeight="1">
      <c r="A480" s="2"/>
      <c r="B480" s="11" t="s">
        <v>2508</v>
      </c>
      <c r="C480" s="9" t="s">
        <v>2509</v>
      </c>
      <c r="D480" s="12" t="s">
        <v>2510</v>
      </c>
      <c r="E480" s="13" t="s">
        <v>2511</v>
      </c>
      <c r="F480" s="13" t="s">
        <v>2512</v>
      </c>
      <c r="G480" s="14">
        <v>420</v>
      </c>
      <c r="H480" s="14">
        <f t="shared" si="28"/>
        <v>315</v>
      </c>
      <c r="I480" s="14"/>
      <c r="J480" s="15">
        <f t="shared" si="29"/>
        <v>0</v>
      </c>
      <c r="K480" s="12" t="s">
        <v>80</v>
      </c>
      <c r="L480" s="16" t="str">
        <f t="shared" si="30"/>
        <v>9789862942727</v>
      </c>
      <c r="M480" s="29" t="str">
        <f t="shared" si="31"/>
        <v>https://search.books.com.tw/search/query/key/9789862942727</v>
      </c>
      <c r="N480" s="12" t="s">
        <v>343</v>
      </c>
      <c r="O480" s="12"/>
      <c r="P480" s="12" t="s">
        <v>45</v>
      </c>
      <c r="Q480" s="17" t="s">
        <v>2513</v>
      </c>
    </row>
    <row r="481" spans="1:17" ht="24.9" customHeight="1">
      <c r="A481" s="2"/>
      <c r="B481" s="11" t="s">
        <v>2514</v>
      </c>
      <c r="C481" s="9" t="s">
        <v>2515</v>
      </c>
      <c r="D481" s="12" t="s">
        <v>749</v>
      </c>
      <c r="E481" s="13" t="s">
        <v>2516</v>
      </c>
      <c r="F481" s="13" t="s">
        <v>2517</v>
      </c>
      <c r="G481" s="14">
        <v>350</v>
      </c>
      <c r="H481" s="14">
        <f t="shared" si="28"/>
        <v>263</v>
      </c>
      <c r="I481" s="14"/>
      <c r="J481" s="15">
        <f t="shared" si="29"/>
        <v>0</v>
      </c>
      <c r="K481" s="12" t="s">
        <v>349</v>
      </c>
      <c r="L481" s="16" t="str">
        <f t="shared" si="30"/>
        <v>9786263203716</v>
      </c>
      <c r="M481" s="29" t="str">
        <f t="shared" si="31"/>
        <v>https://search.books.com.tw/search/query/key/9786263203716</v>
      </c>
      <c r="N481" s="12" t="s">
        <v>522</v>
      </c>
      <c r="O481" s="12"/>
      <c r="P481" s="12" t="s">
        <v>25</v>
      </c>
      <c r="Q481" s="17" t="s">
        <v>753</v>
      </c>
    </row>
    <row r="482" spans="1:17" ht="24.9" customHeight="1">
      <c r="A482" s="2"/>
      <c r="B482" s="11" t="s">
        <v>516</v>
      </c>
      <c r="C482" s="9" t="s">
        <v>2518</v>
      </c>
      <c r="D482" s="12" t="s">
        <v>2519</v>
      </c>
      <c r="E482" s="13" t="s">
        <v>2520</v>
      </c>
      <c r="F482" s="13" t="s">
        <v>1760</v>
      </c>
      <c r="G482" s="14">
        <v>880</v>
      </c>
      <c r="H482" s="14">
        <f t="shared" si="28"/>
        <v>660</v>
      </c>
      <c r="I482" s="14"/>
      <c r="J482" s="15">
        <f t="shared" si="29"/>
        <v>0</v>
      </c>
      <c r="K482" s="12" t="s">
        <v>675</v>
      </c>
      <c r="L482" s="16" t="str">
        <f t="shared" si="30"/>
        <v>8667106523295</v>
      </c>
      <c r="M482" s="29" t="str">
        <f t="shared" si="31"/>
        <v>https://search.books.com.tw/search/query/key/8667106523295</v>
      </c>
      <c r="N482" s="12" t="s">
        <v>522</v>
      </c>
      <c r="O482" s="12"/>
      <c r="P482" s="12" t="s">
        <v>45</v>
      </c>
      <c r="Q482" s="17" t="s">
        <v>523</v>
      </c>
    </row>
    <row r="483" spans="1:17" ht="24.9" customHeight="1">
      <c r="A483" s="2"/>
      <c r="B483" s="11" t="s">
        <v>2521</v>
      </c>
      <c r="C483" s="9" t="s">
        <v>2522</v>
      </c>
      <c r="D483" s="12" t="s">
        <v>2523</v>
      </c>
      <c r="E483" s="13" t="s">
        <v>2524</v>
      </c>
      <c r="F483" s="13" t="s">
        <v>2525</v>
      </c>
      <c r="G483" s="14">
        <v>290</v>
      </c>
      <c r="H483" s="14">
        <f t="shared" si="28"/>
        <v>218</v>
      </c>
      <c r="I483" s="14"/>
      <c r="J483" s="15">
        <f t="shared" si="29"/>
        <v>0</v>
      </c>
      <c r="K483" s="12" t="s">
        <v>22</v>
      </c>
      <c r="L483" s="16" t="str">
        <f t="shared" si="30"/>
        <v>9789862116104</v>
      </c>
      <c r="M483" s="29" t="str">
        <f t="shared" si="31"/>
        <v>https://search.books.com.tw/search/query/key/9789862116104</v>
      </c>
      <c r="N483" s="12" t="s">
        <v>343</v>
      </c>
      <c r="O483" s="12"/>
      <c r="P483" s="12" t="s">
        <v>45</v>
      </c>
      <c r="Q483" s="17" t="s">
        <v>1500</v>
      </c>
    </row>
    <row r="484" spans="1:17" ht="24.9" customHeight="1">
      <c r="A484" s="2"/>
      <c r="B484" s="11" t="s">
        <v>2526</v>
      </c>
      <c r="C484" s="9" t="s">
        <v>2527</v>
      </c>
      <c r="D484" s="12" t="s">
        <v>2528</v>
      </c>
      <c r="E484" s="13" t="s">
        <v>2529</v>
      </c>
      <c r="F484" s="13" t="s">
        <v>2530</v>
      </c>
      <c r="G484" s="14">
        <v>680</v>
      </c>
      <c r="H484" s="14">
        <f t="shared" si="28"/>
        <v>510</v>
      </c>
      <c r="I484" s="14"/>
      <c r="J484" s="15">
        <f t="shared" si="29"/>
        <v>0</v>
      </c>
      <c r="K484" s="12" t="s">
        <v>2057</v>
      </c>
      <c r="L484" s="16" t="str">
        <f t="shared" si="30"/>
        <v>9786269978465</v>
      </c>
      <c r="M484" s="29" t="str">
        <f t="shared" si="31"/>
        <v>https://search.books.com.tw/search/query/key/9786269978465</v>
      </c>
      <c r="N484" s="12" t="s">
        <v>33</v>
      </c>
      <c r="O484" s="12"/>
      <c r="P484" s="12" t="s">
        <v>73</v>
      </c>
      <c r="Q484" s="17" t="s">
        <v>1023</v>
      </c>
    </row>
    <row r="485" spans="1:17" ht="24.9" customHeight="1">
      <c r="A485" s="2"/>
      <c r="B485" s="11" t="s">
        <v>2531</v>
      </c>
      <c r="C485" s="9" t="s">
        <v>2532</v>
      </c>
      <c r="D485" s="12" t="s">
        <v>2533</v>
      </c>
      <c r="E485" s="13" t="s">
        <v>2534</v>
      </c>
      <c r="F485" s="13" t="s">
        <v>2535</v>
      </c>
      <c r="G485" s="14">
        <v>480</v>
      </c>
      <c r="H485" s="14">
        <f t="shared" si="28"/>
        <v>360</v>
      </c>
      <c r="I485" s="14"/>
      <c r="J485" s="15">
        <f t="shared" si="29"/>
        <v>0</v>
      </c>
      <c r="K485" s="12" t="s">
        <v>42</v>
      </c>
      <c r="L485" s="16" t="str">
        <f t="shared" si="30"/>
        <v>4711132385939</v>
      </c>
      <c r="M485" s="29" t="str">
        <f t="shared" si="31"/>
        <v>https://search.books.com.tw/search/query/key/4711132385939</v>
      </c>
      <c r="N485" s="12" t="s">
        <v>33</v>
      </c>
      <c r="O485" s="12"/>
      <c r="P485" s="12" t="s">
        <v>35</v>
      </c>
      <c r="Q485" s="17" t="s">
        <v>1492</v>
      </c>
    </row>
    <row r="486" spans="1:17" ht="24.9" customHeight="1">
      <c r="A486" s="2"/>
      <c r="B486" s="11" t="s">
        <v>2536</v>
      </c>
      <c r="C486" s="9" t="s">
        <v>2537</v>
      </c>
      <c r="D486" s="12" t="s">
        <v>2538</v>
      </c>
      <c r="E486" s="13" t="s">
        <v>2539</v>
      </c>
      <c r="F486" s="13" t="s">
        <v>2460</v>
      </c>
      <c r="G486" s="14">
        <v>320</v>
      </c>
      <c r="H486" s="14">
        <f t="shared" si="28"/>
        <v>240</v>
      </c>
      <c r="I486" s="14"/>
      <c r="J486" s="15">
        <f t="shared" si="29"/>
        <v>0</v>
      </c>
      <c r="K486" s="12" t="s">
        <v>165</v>
      </c>
      <c r="L486" s="16" t="str">
        <f t="shared" si="30"/>
        <v>9789861617800</v>
      </c>
      <c r="M486" s="29" t="str">
        <f t="shared" si="31"/>
        <v>https://search.books.com.tw/search/query/key/9789861617800</v>
      </c>
      <c r="N486" s="12" t="s">
        <v>343</v>
      </c>
      <c r="O486" s="12"/>
      <c r="P486" s="12" t="s">
        <v>384</v>
      </c>
      <c r="Q486" s="17" t="s">
        <v>2540</v>
      </c>
    </row>
    <row r="487" spans="1:17" ht="24.9" customHeight="1">
      <c r="A487" s="2"/>
      <c r="B487" s="11" t="s">
        <v>2541</v>
      </c>
      <c r="C487" s="9" t="s">
        <v>2542</v>
      </c>
      <c r="D487" s="12" t="s">
        <v>2543</v>
      </c>
      <c r="E487" s="13" t="s">
        <v>2544</v>
      </c>
      <c r="F487" s="13" t="s">
        <v>2545</v>
      </c>
      <c r="G487" s="14">
        <v>380</v>
      </c>
      <c r="H487" s="14">
        <f t="shared" si="28"/>
        <v>285</v>
      </c>
      <c r="I487" s="14"/>
      <c r="J487" s="15">
        <f t="shared" si="29"/>
        <v>0</v>
      </c>
      <c r="K487" s="12" t="s">
        <v>1553</v>
      </c>
      <c r="L487" s="16" t="str">
        <f t="shared" si="30"/>
        <v>9789863714811</v>
      </c>
      <c r="M487" s="29" t="str">
        <f t="shared" si="31"/>
        <v>https://search.books.com.tw/search/query/key/9789863714811</v>
      </c>
      <c r="N487" s="12" t="s">
        <v>33</v>
      </c>
      <c r="O487" s="12"/>
      <c r="P487" s="12" t="s">
        <v>25</v>
      </c>
      <c r="Q487" s="17" t="s">
        <v>2546</v>
      </c>
    </row>
    <row r="488" spans="1:17" ht="24.9" customHeight="1">
      <c r="A488" s="2"/>
      <c r="B488" s="11" t="s">
        <v>2547</v>
      </c>
      <c r="C488" s="9" t="s">
        <v>2548</v>
      </c>
      <c r="D488" s="12" t="s">
        <v>733</v>
      </c>
      <c r="E488" s="13" t="s">
        <v>2549</v>
      </c>
      <c r="F488" s="13" t="s">
        <v>2545</v>
      </c>
      <c r="G488" s="14">
        <v>320</v>
      </c>
      <c r="H488" s="14">
        <f t="shared" si="28"/>
        <v>240</v>
      </c>
      <c r="I488" s="14"/>
      <c r="J488" s="15">
        <f t="shared" si="29"/>
        <v>0</v>
      </c>
      <c r="K488" s="12" t="s">
        <v>2550</v>
      </c>
      <c r="L488" s="16" t="str">
        <f t="shared" si="30"/>
        <v>9789861617411</v>
      </c>
      <c r="M488" s="29" t="str">
        <f t="shared" si="31"/>
        <v>https://search.books.com.tw/search/query/key/9789861617411</v>
      </c>
      <c r="N488" s="12" t="s">
        <v>1029</v>
      </c>
      <c r="O488" s="12"/>
      <c r="P488" s="12" t="s">
        <v>45</v>
      </c>
      <c r="Q488" s="17" t="s">
        <v>2551</v>
      </c>
    </row>
    <row r="489" spans="1:17" ht="24.9" customHeight="1">
      <c r="A489" s="2"/>
      <c r="B489" s="11" t="s">
        <v>2552</v>
      </c>
      <c r="C489" s="9" t="s">
        <v>2553</v>
      </c>
      <c r="D489" s="12" t="s">
        <v>2554</v>
      </c>
      <c r="E489" s="13" t="s">
        <v>2555</v>
      </c>
      <c r="F489" s="13" t="s">
        <v>1901</v>
      </c>
      <c r="G489" s="14">
        <v>550</v>
      </c>
      <c r="H489" s="14">
        <f t="shared" si="28"/>
        <v>413</v>
      </c>
      <c r="I489" s="14"/>
      <c r="J489" s="15">
        <f t="shared" si="29"/>
        <v>0</v>
      </c>
      <c r="K489" s="12" t="s">
        <v>787</v>
      </c>
      <c r="L489" s="16" t="str">
        <f t="shared" si="30"/>
        <v>9786267780275</v>
      </c>
      <c r="M489" s="29" t="str">
        <f t="shared" si="31"/>
        <v>https://search.books.com.tw/search/query/key/9786267780275</v>
      </c>
      <c r="N489" s="12" t="s">
        <v>33</v>
      </c>
      <c r="O489" s="12"/>
      <c r="P489" s="12" t="s">
        <v>25</v>
      </c>
      <c r="Q489" s="17" t="s">
        <v>139</v>
      </c>
    </row>
    <row r="490" spans="1:17" ht="24.9" customHeight="1">
      <c r="A490" s="2"/>
      <c r="B490" s="11" t="s">
        <v>2556</v>
      </c>
      <c r="C490" s="9" t="s">
        <v>2557</v>
      </c>
      <c r="D490" s="12" t="s">
        <v>2558</v>
      </c>
      <c r="E490" s="13" t="s">
        <v>2559</v>
      </c>
      <c r="F490" s="13" t="s">
        <v>2560</v>
      </c>
      <c r="G490" s="14">
        <v>280</v>
      </c>
      <c r="H490" s="14">
        <f t="shared" si="28"/>
        <v>210</v>
      </c>
      <c r="I490" s="14"/>
      <c r="J490" s="15">
        <f t="shared" si="29"/>
        <v>0</v>
      </c>
      <c r="K490" s="12" t="s">
        <v>80</v>
      </c>
      <c r="L490" s="16" t="str">
        <f t="shared" si="30"/>
        <v>9789862940266</v>
      </c>
      <c r="M490" s="29" t="str">
        <f t="shared" si="31"/>
        <v>https://search.books.com.tw/search/query/key/9789862940266</v>
      </c>
      <c r="N490" s="12" t="s">
        <v>43</v>
      </c>
      <c r="O490" s="12"/>
      <c r="P490" s="12" t="s">
        <v>45</v>
      </c>
      <c r="Q490" s="17" t="s">
        <v>2561</v>
      </c>
    </row>
    <row r="491" spans="1:17" ht="24.9" customHeight="1">
      <c r="A491" s="2"/>
      <c r="B491" s="11" t="s">
        <v>2562</v>
      </c>
      <c r="C491" s="9" t="s">
        <v>2563</v>
      </c>
      <c r="D491" s="12" t="s">
        <v>2564</v>
      </c>
      <c r="E491" s="13" t="s">
        <v>2565</v>
      </c>
      <c r="F491" s="13" t="s">
        <v>2566</v>
      </c>
      <c r="G491" s="14">
        <v>699</v>
      </c>
      <c r="H491" s="14">
        <f t="shared" si="28"/>
        <v>524</v>
      </c>
      <c r="I491" s="14"/>
      <c r="J491" s="15">
        <f t="shared" si="29"/>
        <v>0</v>
      </c>
      <c r="K491" s="12" t="s">
        <v>80</v>
      </c>
      <c r="L491" s="16" t="str">
        <f t="shared" si="30"/>
        <v>9789862943830</v>
      </c>
      <c r="M491" s="29" t="str">
        <f t="shared" si="31"/>
        <v>https://search.books.com.tw/search/query/key/9789862943830</v>
      </c>
      <c r="N491" s="12" t="s">
        <v>597</v>
      </c>
      <c r="O491" s="12"/>
      <c r="P491" s="12" t="s">
        <v>35</v>
      </c>
      <c r="Q491" s="17" t="s">
        <v>1392</v>
      </c>
    </row>
    <row r="492" spans="1:17" ht="24.9" customHeight="1">
      <c r="A492" s="2"/>
      <c r="B492" s="11" t="s">
        <v>2567</v>
      </c>
      <c r="C492" s="9" t="s">
        <v>2568</v>
      </c>
      <c r="D492" s="12" t="s">
        <v>2569</v>
      </c>
      <c r="E492" s="13" t="s">
        <v>2570</v>
      </c>
      <c r="F492" s="13" t="s">
        <v>2571</v>
      </c>
      <c r="G492" s="14">
        <v>480</v>
      </c>
      <c r="H492" s="14">
        <f t="shared" si="28"/>
        <v>360</v>
      </c>
      <c r="I492" s="14"/>
      <c r="J492" s="15">
        <f t="shared" si="29"/>
        <v>0</v>
      </c>
      <c r="K492" s="12" t="s">
        <v>2057</v>
      </c>
      <c r="L492" s="16" t="str">
        <f t="shared" si="30"/>
        <v>9786269275656</v>
      </c>
      <c r="M492" s="29" t="str">
        <f t="shared" si="31"/>
        <v>https://search.books.com.tw/search/query/key/9786269275656</v>
      </c>
      <c r="N492" s="12" t="s">
        <v>33</v>
      </c>
      <c r="O492" s="12"/>
      <c r="P492" s="12" t="s">
        <v>393</v>
      </c>
      <c r="Q492" s="17" t="s">
        <v>2572</v>
      </c>
    </row>
    <row r="493" spans="1:17" ht="24.9" customHeight="1">
      <c r="A493" s="2"/>
      <c r="B493" s="11" t="s">
        <v>2573</v>
      </c>
      <c r="C493" s="9" t="s">
        <v>2574</v>
      </c>
      <c r="D493" s="12" t="s">
        <v>2575</v>
      </c>
      <c r="E493" s="13" t="s">
        <v>2576</v>
      </c>
      <c r="F493" s="13" t="s">
        <v>2577</v>
      </c>
      <c r="G493" s="14">
        <v>400</v>
      </c>
      <c r="H493" s="14">
        <f t="shared" si="28"/>
        <v>300</v>
      </c>
      <c r="I493" s="14"/>
      <c r="J493" s="15">
        <f t="shared" si="29"/>
        <v>0</v>
      </c>
      <c r="K493" s="12" t="s">
        <v>683</v>
      </c>
      <c r="L493" s="16" t="str">
        <f t="shared" si="30"/>
        <v>9786267846032</v>
      </c>
      <c r="M493" s="29" t="str">
        <f t="shared" si="31"/>
        <v>https://search.books.com.tw/search/query/key/9786267846032</v>
      </c>
      <c r="N493" s="12" t="s">
        <v>33</v>
      </c>
      <c r="O493" s="12"/>
      <c r="P493" s="12" t="s">
        <v>35</v>
      </c>
      <c r="Q493" s="17" t="s">
        <v>706</v>
      </c>
    </row>
    <row r="494" spans="1:17" ht="24.9" customHeight="1">
      <c r="A494" s="2"/>
      <c r="B494" s="11" t="s">
        <v>2578</v>
      </c>
      <c r="C494" s="9" t="s">
        <v>2579</v>
      </c>
      <c r="D494" s="12" t="s">
        <v>2580</v>
      </c>
      <c r="E494" s="13" t="s">
        <v>2581</v>
      </c>
      <c r="F494" s="13" t="s">
        <v>2582</v>
      </c>
      <c r="G494" s="14">
        <v>380</v>
      </c>
      <c r="H494" s="14">
        <f t="shared" si="28"/>
        <v>285</v>
      </c>
      <c r="I494" s="14"/>
      <c r="J494" s="15">
        <f t="shared" si="29"/>
        <v>0</v>
      </c>
      <c r="K494" s="12" t="s">
        <v>22</v>
      </c>
      <c r="L494" s="16" t="str">
        <f t="shared" si="30"/>
        <v>9789865566784</v>
      </c>
      <c r="M494" s="29" t="str">
        <f t="shared" si="31"/>
        <v>https://search.books.com.tw/search/query/key/9789865566784</v>
      </c>
      <c r="N494" s="12" t="s">
        <v>597</v>
      </c>
      <c r="O494" s="12"/>
      <c r="P494" s="12" t="s">
        <v>25</v>
      </c>
      <c r="Q494" s="17" t="s">
        <v>2583</v>
      </c>
    </row>
    <row r="495" spans="1:17" ht="24.9" customHeight="1">
      <c r="A495" s="2"/>
      <c r="B495" s="11" t="s">
        <v>2584</v>
      </c>
      <c r="C495" s="9" t="s">
        <v>2585</v>
      </c>
      <c r="D495" s="12" t="s">
        <v>427</v>
      </c>
      <c r="E495" s="13" t="s">
        <v>2586</v>
      </c>
      <c r="F495" s="13" t="s">
        <v>2587</v>
      </c>
      <c r="G495" s="14">
        <v>300</v>
      </c>
      <c r="H495" s="14">
        <f t="shared" si="28"/>
        <v>225</v>
      </c>
      <c r="I495" s="14"/>
      <c r="J495" s="15">
        <f t="shared" si="29"/>
        <v>0</v>
      </c>
      <c r="K495" s="12" t="s">
        <v>22</v>
      </c>
      <c r="L495" s="16" t="str">
        <f t="shared" si="30"/>
        <v>9789865566869</v>
      </c>
      <c r="M495" s="29" t="str">
        <f t="shared" si="31"/>
        <v>https://search.books.com.tw/search/query/key/9789865566869</v>
      </c>
      <c r="N495" s="12" t="s">
        <v>1047</v>
      </c>
      <c r="O495" s="12"/>
      <c r="P495" s="12" t="s">
        <v>45</v>
      </c>
      <c r="Q495" s="17" t="s">
        <v>1340</v>
      </c>
    </row>
    <row r="496" spans="1:17" ht="24.9" customHeight="1">
      <c r="A496" s="2"/>
      <c r="B496" s="11" t="s">
        <v>2588</v>
      </c>
      <c r="C496" s="9" t="s">
        <v>2589</v>
      </c>
      <c r="D496" s="12" t="s">
        <v>2590</v>
      </c>
      <c r="E496" s="13" t="s">
        <v>2591</v>
      </c>
      <c r="F496" s="13" t="s">
        <v>1781</v>
      </c>
      <c r="G496" s="14">
        <v>380</v>
      </c>
      <c r="H496" s="14">
        <f t="shared" si="28"/>
        <v>285</v>
      </c>
      <c r="I496" s="14"/>
      <c r="J496" s="15">
        <f t="shared" si="29"/>
        <v>0</v>
      </c>
      <c r="K496" s="12" t="s">
        <v>1674</v>
      </c>
      <c r="L496" s="16" t="str">
        <f t="shared" si="30"/>
        <v>9786269258482</v>
      </c>
      <c r="M496" s="29" t="str">
        <f t="shared" si="31"/>
        <v>https://search.books.com.tw/search/query/key/9786269258482</v>
      </c>
      <c r="N496" s="12" t="s">
        <v>343</v>
      </c>
      <c r="O496" s="12"/>
      <c r="P496" s="12" t="s">
        <v>45</v>
      </c>
      <c r="Q496" s="17" t="s">
        <v>1392</v>
      </c>
    </row>
    <row r="497" spans="1:17" ht="24.9" customHeight="1">
      <c r="A497" s="2"/>
      <c r="B497" s="11" t="s">
        <v>2592</v>
      </c>
      <c r="C497" s="9" t="s">
        <v>2593</v>
      </c>
      <c r="D497" s="12" t="s">
        <v>2594</v>
      </c>
      <c r="E497" s="13" t="s">
        <v>2595</v>
      </c>
      <c r="F497" s="13" t="s">
        <v>2596</v>
      </c>
      <c r="G497" s="14">
        <v>450</v>
      </c>
      <c r="H497" s="14">
        <f t="shared" si="28"/>
        <v>338</v>
      </c>
      <c r="I497" s="14"/>
      <c r="J497" s="15">
        <f t="shared" si="29"/>
        <v>0</v>
      </c>
      <c r="K497" s="12" t="s">
        <v>2597</v>
      </c>
      <c r="L497" s="16" t="str">
        <f t="shared" si="30"/>
        <v>9789865335595</v>
      </c>
      <c r="M497" s="29" t="str">
        <f t="shared" si="31"/>
        <v>https://search.books.com.tw/search/query/key/9789865335595</v>
      </c>
      <c r="N497" s="12" t="s">
        <v>23</v>
      </c>
      <c r="O497" s="12"/>
      <c r="P497" s="12" t="s">
        <v>73</v>
      </c>
      <c r="Q497" s="17" t="s">
        <v>2598</v>
      </c>
    </row>
    <row r="498" spans="1:17" ht="24.9" customHeight="1">
      <c r="A498" s="2"/>
      <c r="B498" s="11" t="s">
        <v>2599</v>
      </c>
      <c r="C498" s="9" t="s">
        <v>2600</v>
      </c>
      <c r="D498" s="12" t="s">
        <v>2601</v>
      </c>
      <c r="E498" s="13" t="s">
        <v>2602</v>
      </c>
      <c r="F498" s="13" t="s">
        <v>1944</v>
      </c>
      <c r="G498" s="14">
        <v>690</v>
      </c>
      <c r="H498" s="14">
        <f t="shared" si="28"/>
        <v>518</v>
      </c>
      <c r="I498" s="14"/>
      <c r="J498" s="15">
        <f t="shared" si="29"/>
        <v>0</v>
      </c>
      <c r="K498" s="12" t="s">
        <v>2603</v>
      </c>
      <c r="L498" s="16" t="str">
        <f t="shared" si="30"/>
        <v>9786267244531</v>
      </c>
      <c r="M498" s="29" t="str">
        <f t="shared" si="31"/>
        <v>https://search.books.com.tw/search/query/key/9786267244531</v>
      </c>
      <c r="N498" s="12" t="s">
        <v>33</v>
      </c>
      <c r="O498" s="12"/>
      <c r="P498" s="12" t="s">
        <v>384</v>
      </c>
      <c r="Q498" s="17" t="s">
        <v>706</v>
      </c>
    </row>
    <row r="499" spans="1:17" ht="24.9" customHeight="1">
      <c r="A499" s="2"/>
      <c r="B499" s="11" t="s">
        <v>2604</v>
      </c>
      <c r="C499" s="9" t="s">
        <v>2605</v>
      </c>
      <c r="D499" s="12" t="s">
        <v>2606</v>
      </c>
      <c r="E499" s="13" t="s">
        <v>2607</v>
      </c>
      <c r="F499" s="13" t="s">
        <v>2608</v>
      </c>
      <c r="G499" s="14">
        <v>580</v>
      </c>
      <c r="H499" s="14">
        <f t="shared" si="28"/>
        <v>435</v>
      </c>
      <c r="I499" s="14"/>
      <c r="J499" s="15">
        <f t="shared" si="29"/>
        <v>0</v>
      </c>
      <c r="K499" s="12" t="s">
        <v>2609</v>
      </c>
      <c r="L499" s="16" t="str">
        <f t="shared" si="30"/>
        <v>9786267430187</v>
      </c>
      <c r="M499" s="29" t="str">
        <f t="shared" si="31"/>
        <v>https://search.books.com.tw/search/query/key/9786267430187</v>
      </c>
      <c r="N499" s="12" t="s">
        <v>33</v>
      </c>
      <c r="O499" s="12"/>
      <c r="P499" s="12" t="s">
        <v>384</v>
      </c>
      <c r="Q499" s="17" t="s">
        <v>2610</v>
      </c>
    </row>
    <row r="500" spans="1:17" ht="24.9" customHeight="1">
      <c r="A500" s="2"/>
      <c r="B500" s="11" t="s">
        <v>2611</v>
      </c>
      <c r="C500" s="9" t="s">
        <v>2612</v>
      </c>
      <c r="D500" s="12" t="s">
        <v>2613</v>
      </c>
      <c r="E500" s="13" t="s">
        <v>2614</v>
      </c>
      <c r="F500" s="13" t="s">
        <v>2615</v>
      </c>
      <c r="G500" s="14">
        <v>500</v>
      </c>
      <c r="H500" s="14">
        <f t="shared" si="28"/>
        <v>375</v>
      </c>
      <c r="I500" s="14"/>
      <c r="J500" s="15">
        <f t="shared" si="29"/>
        <v>0</v>
      </c>
      <c r="K500" s="12" t="s">
        <v>2307</v>
      </c>
      <c r="L500" s="16" t="str">
        <f t="shared" si="30"/>
        <v>9786269800735</v>
      </c>
      <c r="M500" s="29" t="str">
        <f t="shared" si="31"/>
        <v>https://search.books.com.tw/search/query/key/9786269800735</v>
      </c>
      <c r="N500" s="12" t="s">
        <v>33</v>
      </c>
      <c r="O500" s="12"/>
      <c r="P500" s="12" t="s">
        <v>35</v>
      </c>
      <c r="Q500" s="17" t="s">
        <v>706</v>
      </c>
    </row>
    <row r="501" spans="1:17" ht="24.9" customHeight="1">
      <c r="A501" s="2"/>
      <c r="B501" s="11" t="s">
        <v>2616</v>
      </c>
      <c r="C501" s="9" t="s">
        <v>2617</v>
      </c>
      <c r="D501" s="12" t="s">
        <v>2618</v>
      </c>
      <c r="E501" s="13" t="s">
        <v>2619</v>
      </c>
      <c r="F501" s="13" t="s">
        <v>2620</v>
      </c>
      <c r="G501" s="14">
        <v>430</v>
      </c>
      <c r="H501" s="14">
        <f t="shared" si="28"/>
        <v>323</v>
      </c>
      <c r="I501" s="14"/>
      <c r="J501" s="15">
        <f t="shared" si="29"/>
        <v>0</v>
      </c>
      <c r="K501" s="12" t="s">
        <v>690</v>
      </c>
      <c r="L501" s="16" t="str">
        <f t="shared" si="30"/>
        <v>9789864064267</v>
      </c>
      <c r="M501" s="29" t="str">
        <f t="shared" si="31"/>
        <v>https://search.books.com.tw/search/query/key/9789864064267</v>
      </c>
      <c r="N501" s="12" t="s">
        <v>33</v>
      </c>
      <c r="O501" s="12"/>
      <c r="P501" s="12" t="s">
        <v>73</v>
      </c>
      <c r="Q501" s="17" t="s">
        <v>2621</v>
      </c>
    </row>
    <row r="502" spans="1:17" ht="24.9" customHeight="1">
      <c r="A502" s="2"/>
      <c r="B502" s="11" t="s">
        <v>2622</v>
      </c>
      <c r="C502" s="9" t="s">
        <v>2623</v>
      </c>
      <c r="D502" s="12" t="s">
        <v>1677</v>
      </c>
      <c r="E502" s="13" t="s">
        <v>2624</v>
      </c>
      <c r="F502" s="13" t="s">
        <v>2625</v>
      </c>
      <c r="G502" s="14">
        <v>480</v>
      </c>
      <c r="H502" s="14">
        <f t="shared" si="28"/>
        <v>360</v>
      </c>
      <c r="I502" s="14"/>
      <c r="J502" s="15">
        <f t="shared" si="29"/>
        <v>0</v>
      </c>
      <c r="K502" s="12" t="s">
        <v>596</v>
      </c>
      <c r="L502" s="16" t="str">
        <f t="shared" si="30"/>
        <v>9786267594292</v>
      </c>
      <c r="M502" s="29" t="str">
        <f t="shared" si="31"/>
        <v>https://search.books.com.tw/search/query/key/9786267594292</v>
      </c>
      <c r="N502" s="12" t="s">
        <v>23</v>
      </c>
      <c r="O502" s="12"/>
      <c r="P502" s="12" t="s">
        <v>535</v>
      </c>
      <c r="Q502" s="17" t="s">
        <v>1680</v>
      </c>
    </row>
    <row r="503" spans="1:17" ht="24.9" customHeight="1">
      <c r="A503" s="2"/>
      <c r="B503" s="11" t="s">
        <v>2626</v>
      </c>
      <c r="C503" s="9" t="s">
        <v>2627</v>
      </c>
      <c r="D503" s="12" t="s">
        <v>2628</v>
      </c>
      <c r="E503" s="13" t="s">
        <v>2629</v>
      </c>
      <c r="F503" s="13" t="s">
        <v>2630</v>
      </c>
      <c r="G503" s="14">
        <v>350</v>
      </c>
      <c r="H503" s="14">
        <f t="shared" si="28"/>
        <v>263</v>
      </c>
      <c r="I503" s="14"/>
      <c r="J503" s="15">
        <f t="shared" si="29"/>
        <v>0</v>
      </c>
      <c r="K503" s="12" t="s">
        <v>2481</v>
      </c>
      <c r="L503" s="16" t="str">
        <f t="shared" si="30"/>
        <v>9789863237464</v>
      </c>
      <c r="M503" s="29" t="str">
        <f t="shared" si="31"/>
        <v>https://search.books.com.tw/search/query/key/9789863237464</v>
      </c>
      <c r="N503" s="12" t="s">
        <v>33</v>
      </c>
      <c r="O503" s="12"/>
      <c r="P503" s="12" t="s">
        <v>45</v>
      </c>
      <c r="Q503" s="17" t="s">
        <v>1925</v>
      </c>
    </row>
    <row r="504" spans="1:17" ht="24.9" customHeight="1">
      <c r="A504" s="2"/>
      <c r="B504" s="11" t="s">
        <v>2631</v>
      </c>
      <c r="C504" s="9" t="s">
        <v>2632</v>
      </c>
      <c r="D504" s="12" t="s">
        <v>2633</v>
      </c>
      <c r="E504" s="13" t="s">
        <v>2634</v>
      </c>
      <c r="F504" s="13" t="s">
        <v>2635</v>
      </c>
      <c r="G504" s="14">
        <v>650</v>
      </c>
      <c r="H504" s="14">
        <f t="shared" si="28"/>
        <v>488</v>
      </c>
      <c r="I504" s="14"/>
      <c r="J504" s="15">
        <f t="shared" si="29"/>
        <v>0</v>
      </c>
      <c r="K504" s="12" t="s">
        <v>2083</v>
      </c>
      <c r="L504" s="16" t="str">
        <f t="shared" si="30"/>
        <v>9786269304813</v>
      </c>
      <c r="M504" s="29" t="str">
        <f t="shared" si="31"/>
        <v>https://search.books.com.tw/search/query/key/9786269304813</v>
      </c>
      <c r="N504" s="12" t="s">
        <v>33</v>
      </c>
      <c r="O504" s="12"/>
      <c r="P504" s="12" t="s">
        <v>25</v>
      </c>
      <c r="Q504" s="17" t="s">
        <v>2636</v>
      </c>
    </row>
    <row r="505" spans="1:17" ht="24.9" customHeight="1">
      <c r="A505" s="2"/>
      <c r="B505" s="11" t="s">
        <v>2637</v>
      </c>
      <c r="C505" s="9" t="s">
        <v>2638</v>
      </c>
      <c r="D505" s="12" t="s">
        <v>519</v>
      </c>
      <c r="E505" s="13" t="s">
        <v>2639</v>
      </c>
      <c r="F505" s="13" t="s">
        <v>2640</v>
      </c>
      <c r="G505" s="14">
        <v>320</v>
      </c>
      <c r="H505" s="14">
        <f t="shared" si="28"/>
        <v>240</v>
      </c>
      <c r="I505" s="14"/>
      <c r="J505" s="15">
        <f t="shared" si="29"/>
        <v>0</v>
      </c>
      <c r="K505" s="12" t="s">
        <v>42</v>
      </c>
      <c r="L505" s="16" t="str">
        <f t="shared" si="30"/>
        <v>9789570874952</v>
      </c>
      <c r="M505" s="29" t="str">
        <f t="shared" si="31"/>
        <v>https://search.books.com.tw/search/query/key/9789570874952</v>
      </c>
      <c r="N505" s="12" t="s">
        <v>343</v>
      </c>
      <c r="O505" s="12"/>
      <c r="P505" s="12" t="s">
        <v>45</v>
      </c>
      <c r="Q505" s="17" t="s">
        <v>523</v>
      </c>
    </row>
    <row r="506" spans="1:17" ht="24.9" customHeight="1">
      <c r="A506" s="2"/>
      <c r="B506" s="11" t="s">
        <v>2641</v>
      </c>
      <c r="C506" s="9" t="s">
        <v>2642</v>
      </c>
      <c r="D506" s="12" t="s">
        <v>2643</v>
      </c>
      <c r="E506" s="13" t="s">
        <v>2644</v>
      </c>
      <c r="F506" s="13" t="s">
        <v>2645</v>
      </c>
      <c r="G506" s="14">
        <v>350</v>
      </c>
      <c r="H506" s="14">
        <f t="shared" si="28"/>
        <v>263</v>
      </c>
      <c r="I506" s="14"/>
      <c r="J506" s="15">
        <f t="shared" si="29"/>
        <v>0</v>
      </c>
      <c r="K506" s="12" t="s">
        <v>725</v>
      </c>
      <c r="L506" s="16" t="str">
        <f t="shared" si="30"/>
        <v>9789866433764</v>
      </c>
      <c r="M506" s="29" t="str">
        <f t="shared" si="31"/>
        <v>https://search.books.com.tw/search/query/key/9789866433764</v>
      </c>
      <c r="N506" s="12" t="s">
        <v>522</v>
      </c>
      <c r="O506" s="12"/>
      <c r="P506" s="12" t="s">
        <v>45</v>
      </c>
      <c r="Q506" s="17" t="s">
        <v>523</v>
      </c>
    </row>
    <row r="507" spans="1:17" ht="24.9" customHeight="1">
      <c r="A507" s="2"/>
      <c r="B507" s="11" t="s">
        <v>2646</v>
      </c>
      <c r="C507" s="9" t="s">
        <v>2647</v>
      </c>
      <c r="D507" s="12" t="s">
        <v>2648</v>
      </c>
      <c r="E507" s="13" t="s">
        <v>2649</v>
      </c>
      <c r="F507" s="13" t="s">
        <v>2650</v>
      </c>
      <c r="G507" s="14">
        <v>350</v>
      </c>
      <c r="H507" s="14">
        <f t="shared" si="28"/>
        <v>263</v>
      </c>
      <c r="I507" s="14"/>
      <c r="J507" s="15">
        <f t="shared" si="29"/>
        <v>0</v>
      </c>
      <c r="K507" s="12" t="s">
        <v>349</v>
      </c>
      <c r="L507" s="16" t="str">
        <f t="shared" si="30"/>
        <v>9786263207417</v>
      </c>
      <c r="M507" s="29" t="str">
        <f t="shared" si="31"/>
        <v>https://search.books.com.tw/search/query/key/9786263207417</v>
      </c>
      <c r="N507" s="12" t="s">
        <v>522</v>
      </c>
      <c r="O507" s="12"/>
      <c r="P507" s="12" t="s">
        <v>45</v>
      </c>
      <c r="Q507" s="17" t="s">
        <v>2331</v>
      </c>
    </row>
    <row r="508" spans="1:17" ht="24.9" customHeight="1">
      <c r="A508" s="2"/>
      <c r="B508" s="11" t="s">
        <v>2651</v>
      </c>
      <c r="C508" s="9" t="s">
        <v>2652</v>
      </c>
      <c r="D508" s="12" t="s">
        <v>2653</v>
      </c>
      <c r="E508" s="13" t="s">
        <v>2654</v>
      </c>
      <c r="F508" s="13" t="s">
        <v>2655</v>
      </c>
      <c r="G508" s="14">
        <v>560</v>
      </c>
      <c r="H508" s="14">
        <f t="shared" si="28"/>
        <v>420</v>
      </c>
      <c r="I508" s="14"/>
      <c r="J508" s="15">
        <f t="shared" si="29"/>
        <v>0</v>
      </c>
      <c r="K508" s="12" t="s">
        <v>232</v>
      </c>
      <c r="L508" s="16" t="str">
        <f t="shared" si="30"/>
        <v>9786267832318</v>
      </c>
      <c r="M508" s="29" t="str">
        <f t="shared" si="31"/>
        <v>https://search.books.com.tw/search/query/key/9786267832318</v>
      </c>
      <c r="N508" s="12" t="s">
        <v>23</v>
      </c>
      <c r="O508" s="12"/>
      <c r="P508" s="12" t="s">
        <v>384</v>
      </c>
      <c r="Q508" s="17" t="s">
        <v>2656</v>
      </c>
    </row>
    <row r="509" spans="1:17" ht="24.9" customHeight="1">
      <c r="A509" s="2"/>
      <c r="B509" s="11" t="s">
        <v>2657</v>
      </c>
      <c r="C509" s="9" t="s">
        <v>2658</v>
      </c>
      <c r="D509" s="12" t="s">
        <v>2659</v>
      </c>
      <c r="E509" s="13" t="s">
        <v>2660</v>
      </c>
      <c r="F509" s="13" t="s">
        <v>735</v>
      </c>
      <c r="G509" s="14">
        <v>400</v>
      </c>
      <c r="H509" s="14">
        <f t="shared" si="28"/>
        <v>300</v>
      </c>
      <c r="I509" s="14"/>
      <c r="J509" s="15">
        <f t="shared" si="29"/>
        <v>0</v>
      </c>
      <c r="K509" s="12" t="s">
        <v>1069</v>
      </c>
      <c r="L509" s="16" t="str">
        <f t="shared" si="30"/>
        <v>9786267275474</v>
      </c>
      <c r="M509" s="29" t="str">
        <f t="shared" si="31"/>
        <v>https://search.books.com.tw/search/query/key/9786267275474</v>
      </c>
      <c r="N509" s="12" t="s">
        <v>1047</v>
      </c>
      <c r="O509" s="12"/>
      <c r="P509" s="12" t="s">
        <v>73</v>
      </c>
      <c r="Q509" s="17" t="s">
        <v>2661</v>
      </c>
    </row>
    <row r="510" spans="1:17" ht="24.9" customHeight="1">
      <c r="A510" s="2"/>
      <c r="B510" s="11" t="s">
        <v>2662</v>
      </c>
      <c r="C510" s="9" t="s">
        <v>2663</v>
      </c>
      <c r="D510" s="12" t="s">
        <v>2664</v>
      </c>
      <c r="E510" s="13" t="s">
        <v>2665</v>
      </c>
      <c r="F510" s="13" t="s">
        <v>2666</v>
      </c>
      <c r="G510" s="14">
        <v>320</v>
      </c>
      <c r="H510" s="14">
        <f t="shared" si="28"/>
        <v>240</v>
      </c>
      <c r="I510" s="14"/>
      <c r="J510" s="15">
        <f t="shared" si="29"/>
        <v>0</v>
      </c>
      <c r="K510" s="12" t="s">
        <v>567</v>
      </c>
      <c r="L510" s="16" t="str">
        <f t="shared" si="30"/>
        <v>9786264441872</v>
      </c>
      <c r="M510" s="29" t="str">
        <f t="shared" si="31"/>
        <v>https://search.books.com.tw/search/query/key/9786264441872</v>
      </c>
      <c r="N510" s="12" t="s">
        <v>1029</v>
      </c>
      <c r="O510" s="12"/>
      <c r="P510" s="12" t="s">
        <v>45</v>
      </c>
      <c r="Q510" s="17" t="s">
        <v>523</v>
      </c>
    </row>
    <row r="511" spans="1:17" ht="24.9" customHeight="1">
      <c r="A511" s="2"/>
      <c r="B511" s="11" t="s">
        <v>2667</v>
      </c>
      <c r="C511" s="9" t="s">
        <v>2668</v>
      </c>
      <c r="D511" s="12" t="s">
        <v>1911</v>
      </c>
      <c r="E511" s="13" t="s">
        <v>2669</v>
      </c>
      <c r="F511" s="13" t="s">
        <v>2670</v>
      </c>
      <c r="G511" s="14">
        <v>320</v>
      </c>
      <c r="H511" s="14">
        <f t="shared" si="28"/>
        <v>240</v>
      </c>
      <c r="I511" s="14"/>
      <c r="J511" s="15">
        <f t="shared" si="29"/>
        <v>0</v>
      </c>
      <c r="K511" s="12" t="s">
        <v>1188</v>
      </c>
      <c r="L511" s="16" t="str">
        <f t="shared" si="30"/>
        <v>9786269585113</v>
      </c>
      <c r="M511" s="29" t="str">
        <f t="shared" si="31"/>
        <v>https://search.books.com.tw/search/query/key/9786269585113</v>
      </c>
      <c r="N511" s="12" t="s">
        <v>343</v>
      </c>
      <c r="O511" s="12"/>
      <c r="P511" s="12" t="s">
        <v>45</v>
      </c>
      <c r="Q511" s="17" t="s">
        <v>1914</v>
      </c>
    </row>
    <row r="512" spans="1:17" ht="24.9" customHeight="1">
      <c r="A512" s="2"/>
      <c r="B512" s="11" t="s">
        <v>2671</v>
      </c>
      <c r="C512" s="9" t="s">
        <v>2672</v>
      </c>
      <c r="D512" s="12" t="s">
        <v>2673</v>
      </c>
      <c r="E512" s="13" t="s">
        <v>2674</v>
      </c>
      <c r="F512" s="13" t="s">
        <v>1334</v>
      </c>
      <c r="G512" s="14">
        <v>550</v>
      </c>
      <c r="H512" s="14">
        <f t="shared" si="28"/>
        <v>413</v>
      </c>
      <c r="I512" s="14"/>
      <c r="J512" s="15">
        <f t="shared" si="29"/>
        <v>0</v>
      </c>
      <c r="K512" s="12" t="s">
        <v>355</v>
      </c>
      <c r="L512" s="16" t="str">
        <f t="shared" si="30"/>
        <v>9786263108721</v>
      </c>
      <c r="M512" s="29" t="str">
        <f t="shared" si="31"/>
        <v>https://search.books.com.tw/search/query/key/9786263108721</v>
      </c>
      <c r="N512" s="12" t="s">
        <v>33</v>
      </c>
      <c r="O512" s="12"/>
      <c r="P512" s="12" t="s">
        <v>35</v>
      </c>
      <c r="Q512" s="17" t="s">
        <v>198</v>
      </c>
    </row>
    <row r="513" spans="1:17" ht="24.9" customHeight="1">
      <c r="A513" s="2"/>
      <c r="B513" s="11" t="s">
        <v>2675</v>
      </c>
      <c r="C513" s="9" t="s">
        <v>2676</v>
      </c>
      <c r="D513" s="12" t="s">
        <v>2673</v>
      </c>
      <c r="E513" s="13" t="s">
        <v>2677</v>
      </c>
      <c r="F513" s="13" t="s">
        <v>2678</v>
      </c>
      <c r="G513" s="14">
        <v>520</v>
      </c>
      <c r="H513" s="14">
        <f t="shared" si="28"/>
        <v>390</v>
      </c>
      <c r="I513" s="14"/>
      <c r="J513" s="15">
        <f t="shared" si="29"/>
        <v>0</v>
      </c>
      <c r="K513" s="12" t="s">
        <v>355</v>
      </c>
      <c r="L513" s="16" t="str">
        <f t="shared" si="30"/>
        <v>9786263108394</v>
      </c>
      <c r="M513" s="29" t="str">
        <f t="shared" si="31"/>
        <v>https://search.books.com.tw/search/query/key/9786263108394</v>
      </c>
      <c r="N513" s="12" t="s">
        <v>33</v>
      </c>
      <c r="O513" s="12"/>
      <c r="P513" s="12" t="s">
        <v>35</v>
      </c>
      <c r="Q513" s="17" t="s">
        <v>198</v>
      </c>
    </row>
    <row r="514" spans="1:17" ht="24.9" customHeight="1">
      <c r="A514" s="2"/>
      <c r="B514" s="11" t="s">
        <v>2679</v>
      </c>
      <c r="C514" s="9" t="s">
        <v>2680</v>
      </c>
      <c r="D514" s="12" t="s">
        <v>2681</v>
      </c>
      <c r="E514" s="13" t="s">
        <v>2682</v>
      </c>
      <c r="F514" s="13" t="s">
        <v>2683</v>
      </c>
      <c r="G514" s="14">
        <v>490</v>
      </c>
      <c r="H514" s="14">
        <f t="shared" ref="H514:H577" si="32">ROUND(G514*75%,0)</f>
        <v>368</v>
      </c>
      <c r="I514" s="14"/>
      <c r="J514" s="15">
        <f t="shared" ref="J514:J577" si="33">H514*I514</f>
        <v>0</v>
      </c>
      <c r="K514" s="12" t="s">
        <v>690</v>
      </c>
      <c r="L514" s="16" t="str">
        <f t="shared" ref="L514:L577" si="34">HYPERLINK(M514,E514)</f>
        <v>9789864063697</v>
      </c>
      <c r="M514" s="29" t="str">
        <f t="shared" ref="M514:M577" si="35">"https://search.books.com.tw/search/query/key/"&amp;E514</f>
        <v>https://search.books.com.tw/search/query/key/9789864063697</v>
      </c>
      <c r="N514" s="12" t="s">
        <v>33</v>
      </c>
      <c r="O514" s="12"/>
      <c r="P514" s="12" t="s">
        <v>45</v>
      </c>
      <c r="Q514" s="17" t="s">
        <v>1925</v>
      </c>
    </row>
    <row r="515" spans="1:17" ht="24.9" customHeight="1">
      <c r="A515" s="2"/>
      <c r="B515" s="11" t="s">
        <v>2684</v>
      </c>
      <c r="C515" s="9" t="s">
        <v>2685</v>
      </c>
      <c r="D515" s="12" t="s">
        <v>2686</v>
      </c>
      <c r="E515" s="13" t="s">
        <v>2687</v>
      </c>
      <c r="F515" s="13" t="s">
        <v>2688</v>
      </c>
      <c r="G515" s="14">
        <v>480</v>
      </c>
      <c r="H515" s="14">
        <f t="shared" si="32"/>
        <v>360</v>
      </c>
      <c r="I515" s="14"/>
      <c r="J515" s="15">
        <f t="shared" si="33"/>
        <v>0</v>
      </c>
      <c r="K515" s="12" t="s">
        <v>2689</v>
      </c>
      <c r="L515" s="16" t="str">
        <f t="shared" si="34"/>
        <v>9786267424377</v>
      </c>
      <c r="M515" s="29" t="str">
        <f t="shared" si="35"/>
        <v>https://search.books.com.tw/search/query/key/9786267424377</v>
      </c>
      <c r="N515" s="12" t="s">
        <v>33</v>
      </c>
      <c r="O515" s="12"/>
      <c r="P515" s="12" t="s">
        <v>73</v>
      </c>
      <c r="Q515" s="17" t="s">
        <v>2690</v>
      </c>
    </row>
    <row r="516" spans="1:17" ht="24.9" customHeight="1">
      <c r="A516" s="2"/>
      <c r="B516" s="11" t="s">
        <v>2691</v>
      </c>
      <c r="C516" s="9" t="s">
        <v>2692</v>
      </c>
      <c r="D516" s="12" t="s">
        <v>2693</v>
      </c>
      <c r="E516" s="13" t="s">
        <v>2694</v>
      </c>
      <c r="F516" s="13" t="s">
        <v>2695</v>
      </c>
      <c r="G516" s="14">
        <v>350</v>
      </c>
      <c r="H516" s="14">
        <f t="shared" si="32"/>
        <v>263</v>
      </c>
      <c r="I516" s="14"/>
      <c r="J516" s="15">
        <f t="shared" si="33"/>
        <v>0</v>
      </c>
      <c r="K516" s="12" t="s">
        <v>2696</v>
      </c>
      <c r="L516" s="16" t="str">
        <f t="shared" si="34"/>
        <v>9786269688821</v>
      </c>
      <c r="M516" s="29" t="str">
        <f t="shared" si="35"/>
        <v>https://search.books.com.tw/search/query/key/9786269688821</v>
      </c>
      <c r="N516" s="12" t="s">
        <v>1047</v>
      </c>
      <c r="O516" s="12"/>
      <c r="P516" s="12" t="s">
        <v>393</v>
      </c>
      <c r="Q516" s="17" t="s">
        <v>598</v>
      </c>
    </row>
    <row r="517" spans="1:17" ht="24.9" customHeight="1">
      <c r="A517" s="2"/>
      <c r="B517" s="11" t="s">
        <v>2697</v>
      </c>
      <c r="C517" s="9" t="s">
        <v>2698</v>
      </c>
      <c r="D517" s="12" t="s">
        <v>2699</v>
      </c>
      <c r="E517" s="13" t="s">
        <v>2700</v>
      </c>
      <c r="F517" s="13" t="s">
        <v>2695</v>
      </c>
      <c r="G517" s="14">
        <v>350</v>
      </c>
      <c r="H517" s="14">
        <f t="shared" si="32"/>
        <v>263</v>
      </c>
      <c r="I517" s="14"/>
      <c r="J517" s="15">
        <f t="shared" si="33"/>
        <v>0</v>
      </c>
      <c r="K517" s="12" t="s">
        <v>2696</v>
      </c>
      <c r="L517" s="16" t="str">
        <f t="shared" si="34"/>
        <v>9786269688838</v>
      </c>
      <c r="M517" s="29" t="str">
        <f t="shared" si="35"/>
        <v>https://search.books.com.tw/search/query/key/9786269688838</v>
      </c>
      <c r="N517" s="12" t="s">
        <v>1047</v>
      </c>
      <c r="O517" s="12"/>
      <c r="P517" s="12" t="s">
        <v>393</v>
      </c>
      <c r="Q517" s="17" t="s">
        <v>598</v>
      </c>
    </row>
    <row r="518" spans="1:17" ht="24.9" customHeight="1">
      <c r="A518" s="2"/>
      <c r="B518" s="11" t="s">
        <v>2701</v>
      </c>
      <c r="C518" s="9" t="s">
        <v>2702</v>
      </c>
      <c r="D518" s="12" t="s">
        <v>2703</v>
      </c>
      <c r="E518" s="13" t="s">
        <v>2704</v>
      </c>
      <c r="F518" s="13" t="s">
        <v>2705</v>
      </c>
      <c r="G518" s="14">
        <v>999</v>
      </c>
      <c r="H518" s="14">
        <f t="shared" si="32"/>
        <v>749</v>
      </c>
      <c r="I518" s="14"/>
      <c r="J518" s="15">
        <f t="shared" si="33"/>
        <v>0</v>
      </c>
      <c r="K518" s="12" t="s">
        <v>2706</v>
      </c>
      <c r="L518" s="16" t="str">
        <f t="shared" si="34"/>
        <v>9786267728031</v>
      </c>
      <c r="M518" s="29" t="str">
        <f t="shared" si="35"/>
        <v>https://search.books.com.tw/search/query/key/9786267728031</v>
      </c>
      <c r="N518" s="12" t="s">
        <v>33</v>
      </c>
      <c r="O518" s="12"/>
      <c r="P518" s="12" t="s">
        <v>25</v>
      </c>
      <c r="Q518" s="17" t="s">
        <v>1799</v>
      </c>
    </row>
    <row r="519" spans="1:17" ht="24.9" customHeight="1">
      <c r="A519" s="2"/>
      <c r="B519" s="11" t="s">
        <v>2707</v>
      </c>
      <c r="C519" s="9" t="s">
        <v>2708</v>
      </c>
      <c r="D519" s="12" t="s">
        <v>2709</v>
      </c>
      <c r="E519" s="13" t="s">
        <v>2710</v>
      </c>
      <c r="F519" s="13" t="s">
        <v>2711</v>
      </c>
      <c r="G519" s="14">
        <v>500</v>
      </c>
      <c r="H519" s="14">
        <f t="shared" si="32"/>
        <v>375</v>
      </c>
      <c r="I519" s="14"/>
      <c r="J519" s="15">
        <f t="shared" si="33"/>
        <v>0</v>
      </c>
      <c r="K519" s="12" t="s">
        <v>32</v>
      </c>
      <c r="L519" s="16" t="str">
        <f t="shared" si="34"/>
        <v>9786264185202</v>
      </c>
      <c r="M519" s="29" t="str">
        <f t="shared" si="35"/>
        <v>https://search.books.com.tw/search/query/key/9786264185202</v>
      </c>
      <c r="N519" s="12" t="s">
        <v>33</v>
      </c>
      <c r="O519" s="12"/>
      <c r="P519" s="12" t="s">
        <v>384</v>
      </c>
      <c r="Q519" s="17" t="s">
        <v>198</v>
      </c>
    </row>
    <row r="520" spans="1:17" ht="24.9" customHeight="1">
      <c r="A520" s="2"/>
      <c r="B520" s="11" t="s">
        <v>2712</v>
      </c>
      <c r="C520" s="9" t="s">
        <v>2713</v>
      </c>
      <c r="D520" s="12" t="s">
        <v>2714</v>
      </c>
      <c r="E520" s="13" t="s">
        <v>2715</v>
      </c>
      <c r="F520" s="13" t="s">
        <v>2716</v>
      </c>
      <c r="G520" s="14">
        <v>320</v>
      </c>
      <c r="H520" s="14">
        <f t="shared" si="32"/>
        <v>240</v>
      </c>
      <c r="I520" s="14"/>
      <c r="J520" s="15">
        <f t="shared" si="33"/>
        <v>0</v>
      </c>
      <c r="K520" s="12" t="s">
        <v>793</v>
      </c>
      <c r="L520" s="16" t="str">
        <f t="shared" si="34"/>
        <v>9786263842564</v>
      </c>
      <c r="M520" s="29" t="str">
        <f t="shared" si="35"/>
        <v>https://search.books.com.tw/search/query/key/9786263842564</v>
      </c>
      <c r="N520" s="12" t="s">
        <v>33</v>
      </c>
      <c r="O520" s="12"/>
      <c r="P520" s="12" t="s">
        <v>45</v>
      </c>
      <c r="Q520" s="17" t="s">
        <v>1154</v>
      </c>
    </row>
    <row r="521" spans="1:17" ht="24.9" customHeight="1">
      <c r="A521" s="2"/>
      <c r="B521" s="11" t="s">
        <v>2717</v>
      </c>
      <c r="C521" s="9" t="s">
        <v>2718</v>
      </c>
      <c r="D521" s="12" t="s">
        <v>2714</v>
      </c>
      <c r="E521" s="13" t="s">
        <v>2719</v>
      </c>
      <c r="F521" s="13" t="s">
        <v>2720</v>
      </c>
      <c r="G521" s="14">
        <v>320</v>
      </c>
      <c r="H521" s="14">
        <f t="shared" si="32"/>
        <v>240</v>
      </c>
      <c r="I521" s="14"/>
      <c r="J521" s="15">
        <f t="shared" si="33"/>
        <v>0</v>
      </c>
      <c r="K521" s="12" t="s">
        <v>793</v>
      </c>
      <c r="L521" s="16" t="str">
        <f t="shared" si="34"/>
        <v>9786263842632</v>
      </c>
      <c r="M521" s="29" t="str">
        <f t="shared" si="35"/>
        <v>https://search.books.com.tw/search/query/key/9786263842632</v>
      </c>
      <c r="N521" s="12" t="s">
        <v>33</v>
      </c>
      <c r="O521" s="12"/>
      <c r="P521" s="12" t="s">
        <v>45</v>
      </c>
      <c r="Q521" s="17" t="s">
        <v>1154</v>
      </c>
    </row>
    <row r="522" spans="1:17" ht="24.9" customHeight="1">
      <c r="A522" s="2"/>
      <c r="B522" s="11" t="s">
        <v>2721</v>
      </c>
      <c r="C522" s="9" t="s">
        <v>2722</v>
      </c>
      <c r="D522" s="12" t="s">
        <v>2714</v>
      </c>
      <c r="E522" s="13" t="s">
        <v>2723</v>
      </c>
      <c r="F522" s="13" t="s">
        <v>1235</v>
      </c>
      <c r="G522" s="14">
        <v>360</v>
      </c>
      <c r="H522" s="14">
        <f t="shared" si="32"/>
        <v>270</v>
      </c>
      <c r="I522" s="14"/>
      <c r="J522" s="15">
        <f t="shared" si="33"/>
        <v>0</v>
      </c>
      <c r="K522" s="12" t="s">
        <v>793</v>
      </c>
      <c r="L522" s="16" t="str">
        <f t="shared" si="34"/>
        <v>9786263842809</v>
      </c>
      <c r="M522" s="29" t="str">
        <f t="shared" si="35"/>
        <v>https://search.books.com.tw/search/query/key/9786263842809</v>
      </c>
      <c r="N522" s="12" t="s">
        <v>33</v>
      </c>
      <c r="O522" s="12"/>
      <c r="P522" s="12" t="s">
        <v>45</v>
      </c>
      <c r="Q522" s="17" t="s">
        <v>1154</v>
      </c>
    </row>
    <row r="523" spans="1:17" ht="24.9" customHeight="1">
      <c r="A523" s="2"/>
      <c r="B523" s="11" t="s">
        <v>2724</v>
      </c>
      <c r="C523" s="9" t="s">
        <v>2725</v>
      </c>
      <c r="D523" s="12" t="s">
        <v>2714</v>
      </c>
      <c r="E523" s="13" t="s">
        <v>2726</v>
      </c>
      <c r="F523" s="13" t="s">
        <v>1235</v>
      </c>
      <c r="G523" s="14">
        <v>350</v>
      </c>
      <c r="H523" s="14">
        <f t="shared" si="32"/>
        <v>263</v>
      </c>
      <c r="I523" s="14"/>
      <c r="J523" s="15">
        <f t="shared" si="33"/>
        <v>0</v>
      </c>
      <c r="K523" s="12" t="s">
        <v>793</v>
      </c>
      <c r="L523" s="16" t="str">
        <f t="shared" si="34"/>
        <v>9786263842922</v>
      </c>
      <c r="M523" s="29" t="str">
        <f t="shared" si="35"/>
        <v>https://search.books.com.tw/search/query/key/9786263842922</v>
      </c>
      <c r="N523" s="12" t="s">
        <v>33</v>
      </c>
      <c r="O523" s="12"/>
      <c r="P523" s="12" t="s">
        <v>45</v>
      </c>
      <c r="Q523" s="17" t="s">
        <v>1154</v>
      </c>
    </row>
    <row r="524" spans="1:17" ht="24.9" customHeight="1">
      <c r="A524" s="2"/>
      <c r="B524" s="11" t="s">
        <v>2727</v>
      </c>
      <c r="C524" s="9" t="s">
        <v>2728</v>
      </c>
      <c r="D524" s="12" t="s">
        <v>2729</v>
      </c>
      <c r="E524" s="13" t="s">
        <v>2730</v>
      </c>
      <c r="F524" s="13" t="s">
        <v>2731</v>
      </c>
      <c r="G524" s="14">
        <v>420</v>
      </c>
      <c r="H524" s="14">
        <f t="shared" si="32"/>
        <v>315</v>
      </c>
      <c r="I524" s="14"/>
      <c r="J524" s="15">
        <f t="shared" si="33"/>
        <v>0</v>
      </c>
      <c r="K524" s="12" t="s">
        <v>683</v>
      </c>
      <c r="L524" s="16" t="str">
        <f t="shared" si="34"/>
        <v>9786267488461</v>
      </c>
      <c r="M524" s="29" t="str">
        <f t="shared" si="35"/>
        <v>https://search.books.com.tw/search/query/key/9786267488461</v>
      </c>
      <c r="N524" s="12" t="s">
        <v>33</v>
      </c>
      <c r="O524" s="12"/>
      <c r="P524" s="12" t="s">
        <v>35</v>
      </c>
      <c r="Q524" s="17" t="s">
        <v>706</v>
      </c>
    </row>
    <row r="525" spans="1:17" ht="24.9" customHeight="1">
      <c r="A525" s="2"/>
      <c r="B525" s="11" t="s">
        <v>2732</v>
      </c>
      <c r="C525" s="9" t="s">
        <v>2733</v>
      </c>
      <c r="D525" s="12" t="s">
        <v>2734</v>
      </c>
      <c r="E525" s="13" t="s">
        <v>2735</v>
      </c>
      <c r="F525" s="13" t="s">
        <v>2736</v>
      </c>
      <c r="G525" s="14">
        <v>490</v>
      </c>
      <c r="H525" s="14">
        <f t="shared" si="32"/>
        <v>368</v>
      </c>
      <c r="I525" s="14"/>
      <c r="J525" s="15">
        <f t="shared" si="33"/>
        <v>0</v>
      </c>
      <c r="K525" s="12" t="s">
        <v>2737</v>
      </c>
      <c r="L525" s="16" t="str">
        <f t="shared" si="34"/>
        <v>9789887451679</v>
      </c>
      <c r="M525" s="29" t="str">
        <f t="shared" si="35"/>
        <v>https://search.books.com.tw/search/query/key/9789887451679</v>
      </c>
      <c r="N525" s="12" t="s">
        <v>33</v>
      </c>
      <c r="O525" s="12"/>
      <c r="P525" s="12" t="s">
        <v>35</v>
      </c>
      <c r="Q525" s="17" t="s">
        <v>706</v>
      </c>
    </row>
    <row r="526" spans="1:17" ht="24.9" customHeight="1">
      <c r="A526" s="2"/>
      <c r="B526" s="11" t="s">
        <v>2738</v>
      </c>
      <c r="C526" s="9" t="s">
        <v>2739</v>
      </c>
      <c r="D526" s="12" t="s">
        <v>2740</v>
      </c>
      <c r="E526" s="13" t="s">
        <v>2741</v>
      </c>
      <c r="F526" s="13" t="s">
        <v>2742</v>
      </c>
      <c r="G526" s="14">
        <v>298</v>
      </c>
      <c r="H526" s="14">
        <f t="shared" si="32"/>
        <v>224</v>
      </c>
      <c r="I526" s="14"/>
      <c r="J526" s="15">
        <f t="shared" si="33"/>
        <v>0</v>
      </c>
      <c r="K526" s="12" t="s">
        <v>2167</v>
      </c>
      <c r="L526" s="16" t="str">
        <f t="shared" si="34"/>
        <v>9789862941225</v>
      </c>
      <c r="M526" s="29" t="str">
        <f t="shared" si="35"/>
        <v>https://search.books.com.tw/search/query/key/9789862941225</v>
      </c>
      <c r="N526" s="12" t="s">
        <v>43</v>
      </c>
      <c r="O526" s="12"/>
      <c r="P526" s="12" t="s">
        <v>45</v>
      </c>
      <c r="Q526" s="17" t="s">
        <v>46</v>
      </c>
    </row>
    <row r="527" spans="1:17" ht="24.9" customHeight="1">
      <c r="A527" s="2"/>
      <c r="B527" s="11" t="s">
        <v>2743</v>
      </c>
      <c r="C527" s="9" t="s">
        <v>2744</v>
      </c>
      <c r="D527" s="12" t="s">
        <v>1151</v>
      </c>
      <c r="E527" s="13" t="s">
        <v>2745</v>
      </c>
      <c r="F527" s="13" t="s">
        <v>2326</v>
      </c>
      <c r="G527" s="14">
        <v>420</v>
      </c>
      <c r="H527" s="14">
        <f t="shared" si="32"/>
        <v>315</v>
      </c>
      <c r="I527" s="14"/>
      <c r="J527" s="15">
        <f t="shared" si="33"/>
        <v>0</v>
      </c>
      <c r="K527" s="12" t="s">
        <v>832</v>
      </c>
      <c r="L527" s="16" t="str">
        <f t="shared" si="34"/>
        <v>9786263145825</v>
      </c>
      <c r="M527" s="29" t="str">
        <f t="shared" si="35"/>
        <v>https://search.books.com.tw/search/query/key/9786263145825</v>
      </c>
      <c r="N527" s="12" t="s">
        <v>33</v>
      </c>
      <c r="O527" s="12"/>
      <c r="P527" s="12" t="s">
        <v>45</v>
      </c>
      <c r="Q527" s="17" t="s">
        <v>1154</v>
      </c>
    </row>
    <row r="528" spans="1:17" ht="24.9" customHeight="1">
      <c r="A528" s="2"/>
      <c r="B528" s="11" t="s">
        <v>2746</v>
      </c>
      <c r="C528" s="9" t="s">
        <v>2747</v>
      </c>
      <c r="D528" s="12" t="s">
        <v>2748</v>
      </c>
      <c r="E528" s="13" t="s">
        <v>2749</v>
      </c>
      <c r="F528" s="13" t="s">
        <v>2750</v>
      </c>
      <c r="G528" s="14">
        <v>800</v>
      </c>
      <c r="H528" s="14">
        <f t="shared" si="32"/>
        <v>600</v>
      </c>
      <c r="I528" s="14"/>
      <c r="J528" s="15">
        <f t="shared" si="33"/>
        <v>0</v>
      </c>
      <c r="K528" s="12" t="s">
        <v>787</v>
      </c>
      <c r="L528" s="16" t="str">
        <f t="shared" si="34"/>
        <v>9789863849698</v>
      </c>
      <c r="M528" s="29" t="str">
        <f t="shared" si="35"/>
        <v>https://search.books.com.tw/search/query/key/9789863849698</v>
      </c>
      <c r="N528" s="12" t="s">
        <v>33</v>
      </c>
      <c r="O528" s="12"/>
      <c r="P528" s="12" t="s">
        <v>25</v>
      </c>
      <c r="Q528" s="17" t="s">
        <v>26</v>
      </c>
    </row>
    <row r="529" spans="1:17" ht="24.9" customHeight="1">
      <c r="A529" s="2"/>
      <c r="B529" s="11" t="s">
        <v>2751</v>
      </c>
      <c r="C529" s="9" t="s">
        <v>2752</v>
      </c>
      <c r="D529" s="12" t="s">
        <v>2504</v>
      </c>
      <c r="E529" s="13" t="s">
        <v>2753</v>
      </c>
      <c r="F529" s="13" t="s">
        <v>924</v>
      </c>
      <c r="G529" s="14">
        <v>350</v>
      </c>
      <c r="H529" s="14">
        <f t="shared" si="32"/>
        <v>263</v>
      </c>
      <c r="I529" s="14"/>
      <c r="J529" s="15">
        <f t="shared" si="33"/>
        <v>0</v>
      </c>
      <c r="K529" s="12" t="s">
        <v>22</v>
      </c>
      <c r="L529" s="16" t="str">
        <f t="shared" si="34"/>
        <v>9786267043196</v>
      </c>
      <c r="M529" s="29" t="str">
        <f t="shared" si="35"/>
        <v>https://search.books.com.tw/search/query/key/9786267043196</v>
      </c>
      <c r="N529" s="12" t="s">
        <v>43</v>
      </c>
      <c r="O529" s="12"/>
      <c r="P529" s="12" t="s">
        <v>45</v>
      </c>
      <c r="Q529" s="17" t="s">
        <v>239</v>
      </c>
    </row>
    <row r="530" spans="1:17" ht="24.9" customHeight="1">
      <c r="A530" s="2"/>
      <c r="B530" s="11" t="s">
        <v>2754</v>
      </c>
      <c r="C530" s="9" t="s">
        <v>2755</v>
      </c>
      <c r="D530" s="12" t="s">
        <v>1445</v>
      </c>
      <c r="E530" s="13" t="s">
        <v>2756</v>
      </c>
      <c r="F530" s="13" t="s">
        <v>1924</v>
      </c>
      <c r="G530" s="14">
        <v>360</v>
      </c>
      <c r="H530" s="14">
        <f t="shared" si="32"/>
        <v>270</v>
      </c>
      <c r="I530" s="14"/>
      <c r="J530" s="15">
        <f t="shared" si="33"/>
        <v>0</v>
      </c>
      <c r="K530" s="12" t="s">
        <v>22</v>
      </c>
      <c r="L530" s="16" t="str">
        <f t="shared" si="34"/>
        <v>9789574907458</v>
      </c>
      <c r="M530" s="29" t="str">
        <f t="shared" si="35"/>
        <v>https://search.books.com.tw/search/query/key/9789574907458</v>
      </c>
      <c r="N530" s="12" t="s">
        <v>522</v>
      </c>
      <c r="O530" s="12"/>
      <c r="P530" s="12" t="s">
        <v>45</v>
      </c>
      <c r="Q530" s="17" t="s">
        <v>713</v>
      </c>
    </row>
    <row r="531" spans="1:17" ht="24.9" customHeight="1">
      <c r="A531" s="2"/>
      <c r="B531" s="11" t="s">
        <v>2757</v>
      </c>
      <c r="C531" s="9" t="s">
        <v>2758</v>
      </c>
      <c r="D531" s="12" t="s">
        <v>2759</v>
      </c>
      <c r="E531" s="13" t="s">
        <v>2760</v>
      </c>
      <c r="F531" s="13" t="s">
        <v>196</v>
      </c>
      <c r="G531" s="14">
        <v>450</v>
      </c>
      <c r="H531" s="14">
        <f t="shared" si="32"/>
        <v>338</v>
      </c>
      <c r="I531" s="14"/>
      <c r="J531" s="15">
        <f t="shared" si="33"/>
        <v>0</v>
      </c>
      <c r="K531" s="12" t="s">
        <v>80</v>
      </c>
      <c r="L531" s="16" t="str">
        <f t="shared" si="34"/>
        <v>9789862943991</v>
      </c>
      <c r="M531" s="29" t="str">
        <f t="shared" si="35"/>
        <v>https://search.books.com.tw/search/query/key/9789862943991</v>
      </c>
      <c r="N531" s="12" t="s">
        <v>23</v>
      </c>
      <c r="O531" s="12"/>
      <c r="P531" s="12" t="s">
        <v>25</v>
      </c>
      <c r="Q531" s="17" t="s">
        <v>198</v>
      </c>
    </row>
    <row r="532" spans="1:17" ht="24.9" customHeight="1">
      <c r="A532" s="2"/>
      <c r="B532" s="11" t="s">
        <v>2761</v>
      </c>
      <c r="C532" s="9" t="s">
        <v>2762</v>
      </c>
      <c r="D532" s="12" t="s">
        <v>2763</v>
      </c>
      <c r="E532" s="13" t="s">
        <v>2764</v>
      </c>
      <c r="F532" s="13" t="s">
        <v>2765</v>
      </c>
      <c r="G532" s="14">
        <v>270</v>
      </c>
      <c r="H532" s="14">
        <f t="shared" si="32"/>
        <v>203</v>
      </c>
      <c r="I532" s="14"/>
      <c r="J532" s="15">
        <f t="shared" si="33"/>
        <v>0</v>
      </c>
      <c r="K532" s="12" t="s">
        <v>22</v>
      </c>
      <c r="L532" s="16" t="str">
        <f t="shared" si="34"/>
        <v>9789862111970</v>
      </c>
      <c r="M532" s="29" t="str">
        <f t="shared" si="35"/>
        <v>https://search.books.com.tw/search/query/key/9789862111970</v>
      </c>
      <c r="N532" s="12" t="s">
        <v>43</v>
      </c>
      <c r="O532" s="12"/>
      <c r="P532" s="12" t="s">
        <v>45</v>
      </c>
      <c r="Q532" s="17" t="s">
        <v>46</v>
      </c>
    </row>
    <row r="533" spans="1:17" ht="24.9" customHeight="1">
      <c r="A533" s="2"/>
      <c r="B533" s="11" t="s">
        <v>2766</v>
      </c>
      <c r="C533" s="9" t="s">
        <v>2767</v>
      </c>
      <c r="D533" s="12" t="s">
        <v>1882</v>
      </c>
      <c r="E533" s="13" t="s">
        <v>2768</v>
      </c>
      <c r="F533" s="13" t="s">
        <v>1279</v>
      </c>
      <c r="G533" s="14">
        <v>400</v>
      </c>
      <c r="H533" s="14">
        <f t="shared" si="32"/>
        <v>300</v>
      </c>
      <c r="I533" s="14"/>
      <c r="J533" s="15">
        <f t="shared" si="33"/>
        <v>0</v>
      </c>
      <c r="K533" s="12" t="s">
        <v>474</v>
      </c>
      <c r="L533" s="16" t="str">
        <f t="shared" si="34"/>
        <v>9786267207918</v>
      </c>
      <c r="M533" s="29" t="str">
        <f t="shared" si="35"/>
        <v>https://search.books.com.tw/search/query/key/9786267207918</v>
      </c>
      <c r="N533" s="12" t="s">
        <v>33</v>
      </c>
      <c r="O533" s="12"/>
      <c r="P533" s="12" t="s">
        <v>25</v>
      </c>
      <c r="Q533" s="17" t="s">
        <v>1537</v>
      </c>
    </row>
    <row r="534" spans="1:17" ht="24.9" customHeight="1">
      <c r="A534" s="2"/>
      <c r="B534" s="11" t="s">
        <v>2769</v>
      </c>
      <c r="C534" s="9" t="s">
        <v>2770</v>
      </c>
      <c r="D534" s="12" t="s">
        <v>2771</v>
      </c>
      <c r="E534" s="13" t="s">
        <v>2772</v>
      </c>
      <c r="F534" s="13" t="s">
        <v>2773</v>
      </c>
      <c r="G534" s="14">
        <v>500</v>
      </c>
      <c r="H534" s="14">
        <f t="shared" si="32"/>
        <v>375</v>
      </c>
      <c r="I534" s="14"/>
      <c r="J534" s="15">
        <f t="shared" si="33"/>
        <v>0</v>
      </c>
      <c r="K534" s="12" t="s">
        <v>596</v>
      </c>
      <c r="L534" s="16" t="str">
        <f t="shared" si="34"/>
        <v>9789865549169</v>
      </c>
      <c r="M534" s="29" t="str">
        <f t="shared" si="35"/>
        <v>https://search.books.com.tw/search/query/key/9789865549169</v>
      </c>
      <c r="N534" s="12" t="s">
        <v>43</v>
      </c>
      <c r="O534" s="12"/>
      <c r="P534" s="12" t="s">
        <v>45</v>
      </c>
      <c r="Q534" s="17" t="s">
        <v>677</v>
      </c>
    </row>
    <row r="535" spans="1:17" ht="24.9" customHeight="1">
      <c r="A535" s="2"/>
      <c r="B535" s="11" t="s">
        <v>2774</v>
      </c>
      <c r="C535" s="9" t="s">
        <v>2775</v>
      </c>
      <c r="D535" s="12" t="s">
        <v>2776</v>
      </c>
      <c r="E535" s="13" t="s">
        <v>2777</v>
      </c>
      <c r="F535" s="13" t="s">
        <v>2778</v>
      </c>
      <c r="G535" s="14">
        <v>490</v>
      </c>
      <c r="H535" s="14">
        <f t="shared" si="32"/>
        <v>368</v>
      </c>
      <c r="I535" s="14"/>
      <c r="J535" s="15">
        <f t="shared" si="33"/>
        <v>0</v>
      </c>
      <c r="K535" s="12" t="s">
        <v>349</v>
      </c>
      <c r="L535" s="16" t="str">
        <f t="shared" si="34"/>
        <v>9786263200272</v>
      </c>
      <c r="M535" s="29" t="str">
        <f t="shared" si="35"/>
        <v>https://search.books.com.tw/search/query/key/9786263200272</v>
      </c>
      <c r="N535" s="12" t="s">
        <v>33</v>
      </c>
      <c r="O535" s="12"/>
      <c r="P535" s="12" t="s">
        <v>25</v>
      </c>
      <c r="Q535" s="17" t="s">
        <v>2779</v>
      </c>
    </row>
    <row r="536" spans="1:17" ht="24.9" customHeight="1">
      <c r="A536" s="2"/>
      <c r="B536" s="11" t="s">
        <v>2780</v>
      </c>
      <c r="C536" s="9" t="s">
        <v>2781</v>
      </c>
      <c r="D536" s="12" t="s">
        <v>2782</v>
      </c>
      <c r="E536" s="13" t="s">
        <v>2783</v>
      </c>
      <c r="F536" s="13" t="s">
        <v>2362</v>
      </c>
      <c r="G536" s="14">
        <v>380</v>
      </c>
      <c r="H536" s="14">
        <f t="shared" si="32"/>
        <v>285</v>
      </c>
      <c r="I536" s="14"/>
      <c r="J536" s="15">
        <f t="shared" si="33"/>
        <v>0</v>
      </c>
      <c r="K536" s="12" t="s">
        <v>119</v>
      </c>
      <c r="L536" s="16" t="str">
        <f t="shared" si="34"/>
        <v>9789864406050</v>
      </c>
      <c r="M536" s="29" t="str">
        <f t="shared" si="35"/>
        <v>https://search.books.com.tw/search/query/key/9789864406050</v>
      </c>
      <c r="N536" s="12" t="s">
        <v>343</v>
      </c>
      <c r="O536" s="12"/>
      <c r="P536" s="12" t="s">
        <v>45</v>
      </c>
      <c r="Q536" s="17" t="s">
        <v>523</v>
      </c>
    </row>
    <row r="537" spans="1:17" ht="24.9" customHeight="1">
      <c r="A537" s="2"/>
      <c r="B537" s="11" t="s">
        <v>2784</v>
      </c>
      <c r="C537" s="9" t="s">
        <v>2785</v>
      </c>
      <c r="D537" s="12" t="s">
        <v>2664</v>
      </c>
      <c r="E537" s="13" t="s">
        <v>2786</v>
      </c>
      <c r="F537" s="13" t="s">
        <v>2666</v>
      </c>
      <c r="G537" s="14">
        <v>320</v>
      </c>
      <c r="H537" s="14">
        <f t="shared" si="32"/>
        <v>240</v>
      </c>
      <c r="I537" s="14"/>
      <c r="J537" s="15">
        <f t="shared" si="33"/>
        <v>0</v>
      </c>
      <c r="K537" s="12" t="s">
        <v>567</v>
      </c>
      <c r="L537" s="16" t="str">
        <f t="shared" si="34"/>
        <v>9786264441797</v>
      </c>
      <c r="M537" s="29" t="str">
        <f t="shared" si="35"/>
        <v>https://search.books.com.tw/search/query/key/9786264441797</v>
      </c>
      <c r="N537" s="12" t="s">
        <v>1029</v>
      </c>
      <c r="O537" s="12"/>
      <c r="P537" s="12" t="s">
        <v>45</v>
      </c>
      <c r="Q537" s="17" t="s">
        <v>523</v>
      </c>
    </row>
    <row r="538" spans="1:17" ht="24.9" customHeight="1">
      <c r="A538" s="2"/>
      <c r="B538" s="11" t="s">
        <v>2787</v>
      </c>
      <c r="C538" s="9" t="s">
        <v>2788</v>
      </c>
      <c r="D538" s="12" t="s">
        <v>2789</v>
      </c>
      <c r="E538" s="13" t="s">
        <v>2790</v>
      </c>
      <c r="F538" s="13" t="s">
        <v>2506</v>
      </c>
      <c r="G538" s="14">
        <v>360</v>
      </c>
      <c r="H538" s="14">
        <f t="shared" si="32"/>
        <v>270</v>
      </c>
      <c r="I538" s="14"/>
      <c r="J538" s="15">
        <f t="shared" si="33"/>
        <v>0</v>
      </c>
      <c r="K538" s="12" t="s">
        <v>22</v>
      </c>
      <c r="L538" s="16" t="str">
        <f t="shared" si="34"/>
        <v>9786267043387</v>
      </c>
      <c r="M538" s="29" t="str">
        <f t="shared" si="35"/>
        <v>https://search.books.com.tw/search/query/key/9786267043387</v>
      </c>
      <c r="N538" s="12" t="s">
        <v>597</v>
      </c>
      <c r="O538" s="12"/>
      <c r="P538" s="12" t="s">
        <v>45</v>
      </c>
      <c r="Q538" s="17" t="s">
        <v>1340</v>
      </c>
    </row>
    <row r="539" spans="1:17" ht="24.9" customHeight="1">
      <c r="A539" s="2"/>
      <c r="B539" s="11" t="s">
        <v>2791</v>
      </c>
      <c r="C539" s="9" t="s">
        <v>2792</v>
      </c>
      <c r="D539" s="12" t="s">
        <v>2793</v>
      </c>
      <c r="E539" s="13" t="s">
        <v>2794</v>
      </c>
      <c r="F539" s="13" t="s">
        <v>1614</v>
      </c>
      <c r="G539" s="14">
        <v>350</v>
      </c>
      <c r="H539" s="14">
        <f t="shared" si="32"/>
        <v>263</v>
      </c>
      <c r="I539" s="14"/>
      <c r="J539" s="15">
        <f t="shared" si="33"/>
        <v>0</v>
      </c>
      <c r="K539" s="12" t="s">
        <v>1327</v>
      </c>
      <c r="L539" s="16" t="str">
        <f t="shared" si="34"/>
        <v>9789864275267</v>
      </c>
      <c r="M539" s="29" t="str">
        <f t="shared" si="35"/>
        <v>https://search.books.com.tw/search/query/key/9789864275267</v>
      </c>
      <c r="N539" s="12" t="s">
        <v>343</v>
      </c>
      <c r="O539" s="12"/>
      <c r="P539" s="12" t="s">
        <v>45</v>
      </c>
      <c r="Q539" s="17" t="s">
        <v>1615</v>
      </c>
    </row>
    <row r="540" spans="1:17" ht="24.9" customHeight="1">
      <c r="A540" s="2"/>
      <c r="B540" s="11" t="s">
        <v>2795</v>
      </c>
      <c r="C540" s="9" t="s">
        <v>2796</v>
      </c>
      <c r="D540" s="12" t="s">
        <v>2478</v>
      </c>
      <c r="E540" s="13" t="s">
        <v>2797</v>
      </c>
      <c r="F540" s="13" t="s">
        <v>2798</v>
      </c>
      <c r="G540" s="14">
        <v>360</v>
      </c>
      <c r="H540" s="14">
        <f t="shared" si="32"/>
        <v>270</v>
      </c>
      <c r="I540" s="14"/>
      <c r="J540" s="15">
        <f t="shared" si="33"/>
        <v>0</v>
      </c>
      <c r="K540" s="12" t="s">
        <v>2481</v>
      </c>
      <c r="L540" s="16" t="str">
        <f t="shared" si="34"/>
        <v>9789863236344</v>
      </c>
      <c r="M540" s="29" t="str">
        <f t="shared" si="35"/>
        <v>https://search.books.com.tw/search/query/key/9789863236344</v>
      </c>
      <c r="N540" s="12" t="s">
        <v>33</v>
      </c>
      <c r="O540" s="12"/>
      <c r="P540" s="12" t="s">
        <v>45</v>
      </c>
      <c r="Q540" s="17" t="s">
        <v>2799</v>
      </c>
    </row>
    <row r="541" spans="1:17" ht="24.9" customHeight="1">
      <c r="A541" s="2"/>
      <c r="B541" s="11" t="s">
        <v>2800</v>
      </c>
      <c r="C541" s="9" t="s">
        <v>2801</v>
      </c>
      <c r="D541" s="12" t="s">
        <v>2802</v>
      </c>
      <c r="E541" s="13" t="s">
        <v>2803</v>
      </c>
      <c r="F541" s="13" t="s">
        <v>2287</v>
      </c>
      <c r="G541" s="14">
        <v>350</v>
      </c>
      <c r="H541" s="14">
        <f t="shared" si="32"/>
        <v>263</v>
      </c>
      <c r="I541" s="14"/>
      <c r="J541" s="15">
        <f t="shared" si="33"/>
        <v>0</v>
      </c>
      <c r="K541" s="12" t="s">
        <v>22</v>
      </c>
      <c r="L541" s="16" t="str">
        <f t="shared" si="34"/>
        <v>9789574905980</v>
      </c>
      <c r="M541" s="29" t="str">
        <f t="shared" si="35"/>
        <v>https://search.books.com.tw/search/query/key/9789574905980</v>
      </c>
      <c r="N541" s="12" t="s">
        <v>43</v>
      </c>
      <c r="O541" s="12"/>
      <c r="P541" s="12" t="s">
        <v>45</v>
      </c>
      <c r="Q541" s="17" t="s">
        <v>2390</v>
      </c>
    </row>
    <row r="542" spans="1:17" ht="24.9" customHeight="1">
      <c r="A542" s="2"/>
      <c r="B542" s="11" t="s">
        <v>2804</v>
      </c>
      <c r="C542" s="9" t="s">
        <v>2805</v>
      </c>
      <c r="D542" s="12" t="s">
        <v>2806</v>
      </c>
      <c r="E542" s="13" t="s">
        <v>2807</v>
      </c>
      <c r="F542" s="13" t="s">
        <v>2808</v>
      </c>
      <c r="G542" s="14">
        <v>350</v>
      </c>
      <c r="H542" s="14">
        <f t="shared" si="32"/>
        <v>263</v>
      </c>
      <c r="I542" s="14"/>
      <c r="J542" s="15">
        <f t="shared" si="33"/>
        <v>0</v>
      </c>
      <c r="K542" s="12" t="s">
        <v>1431</v>
      </c>
      <c r="L542" s="16" t="str">
        <f t="shared" si="34"/>
        <v>9789574905881</v>
      </c>
      <c r="M542" s="29" t="str">
        <f t="shared" si="35"/>
        <v>https://search.books.com.tw/search/query/key/9789574905881</v>
      </c>
      <c r="N542" s="12" t="s">
        <v>343</v>
      </c>
      <c r="O542" s="12"/>
      <c r="P542" s="12" t="s">
        <v>45</v>
      </c>
      <c r="Q542" s="17" t="s">
        <v>523</v>
      </c>
    </row>
    <row r="543" spans="1:17" ht="24.9" customHeight="1">
      <c r="A543" s="2"/>
      <c r="B543" s="11" t="s">
        <v>2809</v>
      </c>
      <c r="C543" s="9" t="s">
        <v>2810</v>
      </c>
      <c r="D543" s="12" t="s">
        <v>417</v>
      </c>
      <c r="E543" s="13" t="s">
        <v>2811</v>
      </c>
      <c r="F543" s="13" t="s">
        <v>1046</v>
      </c>
      <c r="G543" s="14">
        <v>350</v>
      </c>
      <c r="H543" s="14">
        <f t="shared" si="32"/>
        <v>263</v>
      </c>
      <c r="I543" s="14"/>
      <c r="J543" s="15">
        <f t="shared" si="33"/>
        <v>0</v>
      </c>
      <c r="K543" s="12" t="s">
        <v>22</v>
      </c>
      <c r="L543" s="16" t="str">
        <f t="shared" si="34"/>
        <v>9789574906147</v>
      </c>
      <c r="M543" s="29" t="str">
        <f t="shared" si="35"/>
        <v>https://search.books.com.tw/search/query/key/9789574906147</v>
      </c>
      <c r="N543" s="12" t="s">
        <v>343</v>
      </c>
      <c r="O543" s="12"/>
      <c r="P543" s="12" t="s">
        <v>45</v>
      </c>
      <c r="Q543" s="17" t="s">
        <v>523</v>
      </c>
    </row>
    <row r="544" spans="1:17" ht="24.9" customHeight="1">
      <c r="A544" s="2"/>
      <c r="B544" s="11" t="s">
        <v>2812</v>
      </c>
      <c r="C544" s="9" t="s">
        <v>2813</v>
      </c>
      <c r="D544" s="12" t="s">
        <v>2814</v>
      </c>
      <c r="E544" s="13" t="s">
        <v>2815</v>
      </c>
      <c r="F544" s="13" t="s">
        <v>2816</v>
      </c>
      <c r="G544" s="14">
        <v>379</v>
      </c>
      <c r="H544" s="14">
        <f t="shared" si="32"/>
        <v>284</v>
      </c>
      <c r="I544" s="14"/>
      <c r="J544" s="15">
        <f t="shared" si="33"/>
        <v>0</v>
      </c>
      <c r="K544" s="12" t="s">
        <v>2817</v>
      </c>
      <c r="L544" s="16" t="str">
        <f t="shared" si="34"/>
        <v>9786269745197</v>
      </c>
      <c r="M544" s="29" t="str">
        <f t="shared" si="35"/>
        <v>https://search.books.com.tw/search/query/key/9786269745197</v>
      </c>
      <c r="N544" s="12" t="s">
        <v>33</v>
      </c>
      <c r="O544" s="12"/>
      <c r="P544" s="12" t="s">
        <v>45</v>
      </c>
      <c r="Q544" s="17" t="s">
        <v>283</v>
      </c>
    </row>
    <row r="545" spans="1:17" ht="24.9" customHeight="1">
      <c r="A545" s="2"/>
      <c r="B545" s="11" t="s">
        <v>2818</v>
      </c>
      <c r="C545" s="9" t="s">
        <v>2819</v>
      </c>
      <c r="D545" s="12" t="s">
        <v>862</v>
      </c>
      <c r="E545" s="13" t="s">
        <v>2820</v>
      </c>
      <c r="F545" s="13" t="s">
        <v>2821</v>
      </c>
      <c r="G545" s="14">
        <v>350</v>
      </c>
      <c r="H545" s="14">
        <f t="shared" si="32"/>
        <v>263</v>
      </c>
      <c r="I545" s="14"/>
      <c r="J545" s="15">
        <f t="shared" si="33"/>
        <v>0</v>
      </c>
      <c r="K545" s="12" t="s">
        <v>22</v>
      </c>
      <c r="L545" s="16" t="str">
        <f t="shared" si="34"/>
        <v>9789574906444</v>
      </c>
      <c r="M545" s="29" t="str">
        <f t="shared" si="35"/>
        <v>https://search.books.com.tw/search/query/key/9789574906444</v>
      </c>
      <c r="N545" s="12" t="s">
        <v>343</v>
      </c>
      <c r="O545" s="12"/>
      <c r="P545" s="12" t="s">
        <v>45</v>
      </c>
      <c r="Q545" s="17" t="s">
        <v>713</v>
      </c>
    </row>
    <row r="546" spans="1:17" ht="24.9" customHeight="1">
      <c r="A546" s="2"/>
      <c r="B546" s="11" t="s">
        <v>2822</v>
      </c>
      <c r="C546" s="9" t="s">
        <v>2823</v>
      </c>
      <c r="D546" s="12" t="s">
        <v>2824</v>
      </c>
      <c r="E546" s="13" t="s">
        <v>2825</v>
      </c>
      <c r="F546" s="13" t="s">
        <v>2826</v>
      </c>
      <c r="G546" s="14">
        <v>400</v>
      </c>
      <c r="H546" s="14">
        <f t="shared" si="32"/>
        <v>300</v>
      </c>
      <c r="I546" s="14"/>
      <c r="J546" s="15">
        <f t="shared" si="33"/>
        <v>0</v>
      </c>
      <c r="K546" s="12" t="s">
        <v>567</v>
      </c>
      <c r="L546" s="16" t="str">
        <f t="shared" si="34"/>
        <v>9786263744578</v>
      </c>
      <c r="M546" s="29" t="str">
        <f t="shared" si="35"/>
        <v>https://search.books.com.tw/search/query/key/9786263744578</v>
      </c>
      <c r="N546" s="12" t="s">
        <v>33</v>
      </c>
      <c r="O546" s="12"/>
      <c r="P546" s="12" t="s">
        <v>25</v>
      </c>
      <c r="Q546" s="17" t="s">
        <v>26</v>
      </c>
    </row>
    <row r="547" spans="1:17" ht="24.9" customHeight="1">
      <c r="A547" s="2"/>
      <c r="B547" s="11" t="s">
        <v>2827</v>
      </c>
      <c r="C547" s="9" t="s">
        <v>2828</v>
      </c>
      <c r="D547" s="12" t="s">
        <v>2829</v>
      </c>
      <c r="E547" s="13" t="s">
        <v>2830</v>
      </c>
      <c r="F547" s="13" t="s">
        <v>1706</v>
      </c>
      <c r="G547" s="14">
        <v>460</v>
      </c>
      <c r="H547" s="14">
        <f t="shared" si="32"/>
        <v>345</v>
      </c>
      <c r="I547" s="14"/>
      <c r="J547" s="15">
        <f t="shared" si="33"/>
        <v>0</v>
      </c>
      <c r="K547" s="12" t="s">
        <v>567</v>
      </c>
      <c r="L547" s="16" t="str">
        <f t="shared" si="34"/>
        <v>9786264192781</v>
      </c>
      <c r="M547" s="29" t="str">
        <f t="shared" si="35"/>
        <v>https://search.books.com.tw/search/query/key/9786264192781</v>
      </c>
      <c r="N547" s="12" t="s">
        <v>33</v>
      </c>
      <c r="O547" s="12"/>
      <c r="P547" s="12" t="s">
        <v>384</v>
      </c>
      <c r="Q547" s="17" t="s">
        <v>1799</v>
      </c>
    </row>
    <row r="548" spans="1:17" ht="24.9" customHeight="1">
      <c r="A548" s="2"/>
      <c r="B548" s="11" t="s">
        <v>2831</v>
      </c>
      <c r="C548" s="9" t="s">
        <v>2832</v>
      </c>
      <c r="D548" s="12" t="s">
        <v>2833</v>
      </c>
      <c r="E548" s="13" t="s">
        <v>2834</v>
      </c>
      <c r="F548" s="13" t="s">
        <v>1935</v>
      </c>
      <c r="G548" s="14">
        <v>400</v>
      </c>
      <c r="H548" s="14">
        <f t="shared" si="32"/>
        <v>300</v>
      </c>
      <c r="I548" s="14"/>
      <c r="J548" s="15">
        <f t="shared" si="33"/>
        <v>0</v>
      </c>
      <c r="K548" s="12" t="s">
        <v>2470</v>
      </c>
      <c r="L548" s="16" t="str">
        <f t="shared" si="34"/>
        <v>9786267626245</v>
      </c>
      <c r="M548" s="29" t="str">
        <f t="shared" si="35"/>
        <v>https://search.books.com.tw/search/query/key/9786267626245</v>
      </c>
      <c r="N548" s="12" t="s">
        <v>343</v>
      </c>
      <c r="O548" s="12"/>
      <c r="P548" s="12" t="s">
        <v>535</v>
      </c>
      <c r="Q548" s="17" t="s">
        <v>74</v>
      </c>
    </row>
    <row r="549" spans="1:17" ht="24.9" customHeight="1">
      <c r="A549" s="2"/>
      <c r="B549" s="11" t="s">
        <v>2835</v>
      </c>
      <c r="C549" s="9" t="s">
        <v>2836</v>
      </c>
      <c r="D549" s="12" t="s">
        <v>2837</v>
      </c>
      <c r="E549" s="13" t="s">
        <v>2838</v>
      </c>
      <c r="F549" s="13" t="s">
        <v>2839</v>
      </c>
      <c r="G549" s="14">
        <v>380</v>
      </c>
      <c r="H549" s="14">
        <f t="shared" si="32"/>
        <v>285</v>
      </c>
      <c r="I549" s="14"/>
      <c r="J549" s="15">
        <f t="shared" si="33"/>
        <v>0</v>
      </c>
      <c r="K549" s="12" t="s">
        <v>349</v>
      </c>
      <c r="L549" s="16" t="str">
        <f t="shared" si="34"/>
        <v>9789864439560</v>
      </c>
      <c r="M549" s="29" t="str">
        <f t="shared" si="35"/>
        <v>https://search.books.com.tw/search/query/key/9789864439560</v>
      </c>
      <c r="N549" s="12" t="s">
        <v>1029</v>
      </c>
      <c r="O549" s="12"/>
      <c r="P549" s="12" t="s">
        <v>384</v>
      </c>
      <c r="Q549" s="17" t="s">
        <v>1663</v>
      </c>
    </row>
    <row r="550" spans="1:17" ht="24.9" customHeight="1">
      <c r="A550" s="2"/>
      <c r="B550" s="11" t="s">
        <v>2840</v>
      </c>
      <c r="C550" s="9" t="s">
        <v>2841</v>
      </c>
      <c r="D550" s="12" t="s">
        <v>2842</v>
      </c>
      <c r="E550" s="13" t="s">
        <v>2843</v>
      </c>
      <c r="F550" s="13" t="s">
        <v>2844</v>
      </c>
      <c r="G550" s="14">
        <v>350</v>
      </c>
      <c r="H550" s="14">
        <f t="shared" si="32"/>
        <v>263</v>
      </c>
      <c r="I550" s="14"/>
      <c r="J550" s="15">
        <f t="shared" si="33"/>
        <v>0</v>
      </c>
      <c r="K550" s="12" t="s">
        <v>2389</v>
      </c>
      <c r="L550" s="16" t="str">
        <f t="shared" si="34"/>
        <v>9786267344019</v>
      </c>
      <c r="M550" s="29" t="str">
        <f t="shared" si="35"/>
        <v>https://search.books.com.tw/search/query/key/9786267344019</v>
      </c>
      <c r="N550" s="12" t="s">
        <v>43</v>
      </c>
      <c r="O550" s="12"/>
      <c r="P550" s="12" t="s">
        <v>45</v>
      </c>
      <c r="Q550" s="17" t="s">
        <v>2845</v>
      </c>
    </row>
    <row r="551" spans="1:17" ht="24.9" customHeight="1">
      <c r="A551" s="2"/>
      <c r="B551" s="11" t="s">
        <v>2846</v>
      </c>
      <c r="C551" s="9" t="s">
        <v>2847</v>
      </c>
      <c r="D551" s="12" t="s">
        <v>2848</v>
      </c>
      <c r="E551" s="13" t="s">
        <v>2849</v>
      </c>
      <c r="F551" s="13" t="s">
        <v>2850</v>
      </c>
      <c r="G551" s="14">
        <v>540</v>
      </c>
      <c r="H551" s="14">
        <f t="shared" si="32"/>
        <v>405</v>
      </c>
      <c r="I551" s="14"/>
      <c r="J551" s="15">
        <f t="shared" si="33"/>
        <v>0</v>
      </c>
      <c r="K551" s="12" t="s">
        <v>2851</v>
      </c>
      <c r="L551" s="16" t="str">
        <f t="shared" si="34"/>
        <v>9786269825172</v>
      </c>
      <c r="M551" s="29" t="str">
        <f t="shared" si="35"/>
        <v>https://search.books.com.tw/search/query/key/9786269825172</v>
      </c>
      <c r="N551" s="12" t="s">
        <v>33</v>
      </c>
      <c r="O551" s="12"/>
      <c r="P551" s="12" t="s">
        <v>73</v>
      </c>
      <c r="Q551" s="17" t="s">
        <v>2852</v>
      </c>
    </row>
    <row r="552" spans="1:17" ht="24.9" customHeight="1">
      <c r="A552" s="2"/>
      <c r="B552" s="11" t="s">
        <v>2853</v>
      </c>
      <c r="C552" s="9" t="s">
        <v>2854</v>
      </c>
      <c r="D552" s="12" t="s">
        <v>2855</v>
      </c>
      <c r="E552" s="13" t="s">
        <v>2856</v>
      </c>
      <c r="F552" s="13" t="s">
        <v>2460</v>
      </c>
      <c r="G552" s="14">
        <v>300</v>
      </c>
      <c r="H552" s="14">
        <f t="shared" si="32"/>
        <v>225</v>
      </c>
      <c r="I552" s="14"/>
      <c r="J552" s="15">
        <f t="shared" si="33"/>
        <v>0</v>
      </c>
      <c r="K552" s="12" t="s">
        <v>2461</v>
      </c>
      <c r="L552" s="16" t="str">
        <f t="shared" si="34"/>
        <v>9786267060766</v>
      </c>
      <c r="M552" s="29" t="str">
        <f t="shared" si="35"/>
        <v>https://search.books.com.tw/search/query/key/9786267060766</v>
      </c>
      <c r="N552" s="12" t="s">
        <v>1840</v>
      </c>
      <c r="O552" s="12"/>
      <c r="P552" s="12" t="s">
        <v>45</v>
      </c>
      <c r="Q552" s="17" t="s">
        <v>1462</v>
      </c>
    </row>
    <row r="553" spans="1:17" ht="24.9" customHeight="1">
      <c r="A553" s="2"/>
      <c r="B553" s="11" t="s">
        <v>2857</v>
      </c>
      <c r="C553" s="9" t="s">
        <v>2858</v>
      </c>
      <c r="D553" s="12" t="s">
        <v>2859</v>
      </c>
      <c r="E553" s="13" t="s">
        <v>2860</v>
      </c>
      <c r="F553" s="13" t="s">
        <v>2861</v>
      </c>
      <c r="G553" s="14">
        <v>300</v>
      </c>
      <c r="H553" s="14">
        <f t="shared" si="32"/>
        <v>225</v>
      </c>
      <c r="I553" s="14"/>
      <c r="J553" s="15">
        <f t="shared" si="33"/>
        <v>0</v>
      </c>
      <c r="K553" s="12" t="s">
        <v>22</v>
      </c>
      <c r="L553" s="16" t="str">
        <f t="shared" si="34"/>
        <v>9789865566166</v>
      </c>
      <c r="M553" s="29" t="str">
        <f t="shared" si="35"/>
        <v>https://search.books.com.tw/search/query/key/9789865566166</v>
      </c>
      <c r="N553" s="12" t="s">
        <v>43</v>
      </c>
      <c r="O553" s="12"/>
      <c r="P553" s="12" t="s">
        <v>45</v>
      </c>
      <c r="Q553" s="17" t="s">
        <v>1340</v>
      </c>
    </row>
    <row r="554" spans="1:17" ht="24.9" customHeight="1">
      <c r="A554" s="2"/>
      <c r="B554" s="11" t="s">
        <v>2862</v>
      </c>
      <c r="C554" s="9" t="s">
        <v>2863</v>
      </c>
      <c r="D554" s="12" t="s">
        <v>2864</v>
      </c>
      <c r="E554" s="13" t="s">
        <v>2865</v>
      </c>
      <c r="F554" s="13" t="s">
        <v>2866</v>
      </c>
      <c r="G554" s="14">
        <v>480</v>
      </c>
      <c r="H554" s="14">
        <f t="shared" si="32"/>
        <v>360</v>
      </c>
      <c r="I554" s="14"/>
      <c r="J554" s="15">
        <f t="shared" si="33"/>
        <v>0</v>
      </c>
      <c r="K554" s="12" t="s">
        <v>2867</v>
      </c>
      <c r="L554" s="16" t="str">
        <f t="shared" si="34"/>
        <v>9786267589724</v>
      </c>
      <c r="M554" s="29" t="str">
        <f t="shared" si="35"/>
        <v>https://search.books.com.tw/search/query/key/9786267589724</v>
      </c>
      <c r="N554" s="12" t="s">
        <v>33</v>
      </c>
      <c r="O554" s="12"/>
      <c r="P554" s="12" t="s">
        <v>25</v>
      </c>
      <c r="Q554" s="17" t="s">
        <v>139</v>
      </c>
    </row>
    <row r="555" spans="1:17" ht="24.9" customHeight="1">
      <c r="A555" s="2"/>
      <c r="B555" s="11" t="s">
        <v>2868</v>
      </c>
      <c r="C555" s="9" t="s">
        <v>2869</v>
      </c>
      <c r="D555" s="12" t="s">
        <v>2870</v>
      </c>
      <c r="E555" s="13" t="s">
        <v>2871</v>
      </c>
      <c r="F555" s="13" t="s">
        <v>2872</v>
      </c>
      <c r="G555" s="14">
        <v>380</v>
      </c>
      <c r="H555" s="14">
        <f t="shared" si="32"/>
        <v>285</v>
      </c>
      <c r="I555" s="14"/>
      <c r="J555" s="15">
        <f t="shared" si="33"/>
        <v>0</v>
      </c>
      <c r="K555" s="12" t="s">
        <v>32</v>
      </c>
      <c r="L555" s="16" t="str">
        <f t="shared" si="34"/>
        <v>9786263617124</v>
      </c>
      <c r="M555" s="29" t="str">
        <f t="shared" si="35"/>
        <v>https://search.books.com.tw/search/query/key/9786263617124</v>
      </c>
      <c r="N555" s="12" t="s">
        <v>33</v>
      </c>
      <c r="O555" s="12"/>
      <c r="P555" s="12" t="s">
        <v>535</v>
      </c>
      <c r="Q555" s="17" t="s">
        <v>1680</v>
      </c>
    </row>
    <row r="556" spans="1:17" ht="24.9" customHeight="1">
      <c r="A556" s="2"/>
      <c r="B556" s="11" t="s">
        <v>2873</v>
      </c>
      <c r="C556" s="9" t="s">
        <v>2874</v>
      </c>
      <c r="D556" s="12" t="s">
        <v>2875</v>
      </c>
      <c r="E556" s="13" t="s">
        <v>2876</v>
      </c>
      <c r="F556" s="13" t="s">
        <v>2877</v>
      </c>
      <c r="G556" s="14">
        <v>750</v>
      </c>
      <c r="H556" s="14">
        <f t="shared" si="32"/>
        <v>563</v>
      </c>
      <c r="I556" s="14"/>
      <c r="J556" s="15">
        <f t="shared" si="33"/>
        <v>0</v>
      </c>
      <c r="K556" s="12" t="s">
        <v>2878</v>
      </c>
      <c r="L556" s="16" t="str">
        <f t="shared" si="34"/>
        <v>9786267462195</v>
      </c>
      <c r="M556" s="29" t="str">
        <f t="shared" si="35"/>
        <v>https://search.books.com.tw/search/query/key/9786267462195</v>
      </c>
      <c r="N556" s="12" t="s">
        <v>33</v>
      </c>
      <c r="O556" s="12"/>
      <c r="P556" s="12" t="s">
        <v>25</v>
      </c>
      <c r="Q556" s="17" t="s">
        <v>2779</v>
      </c>
    </row>
    <row r="557" spans="1:17" ht="24.9" customHeight="1">
      <c r="A557" s="2"/>
      <c r="B557" s="11" t="s">
        <v>2879</v>
      </c>
      <c r="C557" s="9" t="s">
        <v>2880</v>
      </c>
      <c r="D557" s="12" t="s">
        <v>2881</v>
      </c>
      <c r="E557" s="13" t="s">
        <v>2882</v>
      </c>
      <c r="F557" s="13" t="s">
        <v>1486</v>
      </c>
      <c r="G557" s="14">
        <v>360</v>
      </c>
      <c r="H557" s="14">
        <f t="shared" si="32"/>
        <v>270</v>
      </c>
      <c r="I557" s="14"/>
      <c r="J557" s="15">
        <f t="shared" si="33"/>
        <v>0</v>
      </c>
      <c r="K557" s="12" t="s">
        <v>22</v>
      </c>
      <c r="L557" s="16" t="str">
        <f t="shared" si="34"/>
        <v>9786267237571</v>
      </c>
      <c r="M557" s="29" t="str">
        <f t="shared" si="35"/>
        <v>https://search.books.com.tw/search/query/key/9786267237571</v>
      </c>
      <c r="N557" s="12" t="s">
        <v>343</v>
      </c>
      <c r="O557" s="12"/>
      <c r="P557" s="12" t="s">
        <v>45</v>
      </c>
      <c r="Q557" s="17" t="s">
        <v>523</v>
      </c>
    </row>
    <row r="558" spans="1:17" ht="24.9" customHeight="1">
      <c r="A558" s="2"/>
      <c r="B558" s="11" t="s">
        <v>2883</v>
      </c>
      <c r="C558" s="9" t="s">
        <v>2884</v>
      </c>
      <c r="D558" s="12" t="s">
        <v>2885</v>
      </c>
      <c r="E558" s="13" t="s">
        <v>2886</v>
      </c>
      <c r="F558" s="13" t="s">
        <v>156</v>
      </c>
      <c r="G558" s="14">
        <v>360</v>
      </c>
      <c r="H558" s="14">
        <f t="shared" si="32"/>
        <v>270</v>
      </c>
      <c r="I558" s="14"/>
      <c r="J558" s="15">
        <f t="shared" si="33"/>
        <v>0</v>
      </c>
      <c r="K558" s="12" t="s">
        <v>22</v>
      </c>
      <c r="L558" s="16" t="str">
        <f t="shared" si="34"/>
        <v>9786267237403</v>
      </c>
      <c r="M558" s="29" t="str">
        <f t="shared" si="35"/>
        <v>https://search.books.com.tw/search/query/key/9786267237403</v>
      </c>
      <c r="N558" s="12" t="s">
        <v>343</v>
      </c>
      <c r="O558" s="12"/>
      <c r="P558" s="12" t="s">
        <v>45</v>
      </c>
      <c r="Q558" s="17" t="s">
        <v>523</v>
      </c>
    </row>
    <row r="559" spans="1:17" ht="24.9" customHeight="1">
      <c r="A559" s="2"/>
      <c r="B559" s="11" t="s">
        <v>2887</v>
      </c>
      <c r="C559" s="9" t="s">
        <v>2888</v>
      </c>
      <c r="D559" s="12" t="s">
        <v>2889</v>
      </c>
      <c r="E559" s="13" t="s">
        <v>2890</v>
      </c>
      <c r="F559" s="13" t="s">
        <v>2891</v>
      </c>
      <c r="G559" s="14">
        <v>420</v>
      </c>
      <c r="H559" s="14">
        <f t="shared" si="32"/>
        <v>315</v>
      </c>
      <c r="I559" s="14"/>
      <c r="J559" s="15">
        <f t="shared" si="33"/>
        <v>0</v>
      </c>
      <c r="K559" s="12" t="s">
        <v>567</v>
      </c>
      <c r="L559" s="16" t="str">
        <f t="shared" si="34"/>
        <v>9786264194020</v>
      </c>
      <c r="M559" s="29" t="str">
        <f t="shared" si="35"/>
        <v>https://search.books.com.tw/search/query/key/9786264194020</v>
      </c>
      <c r="N559" s="12" t="s">
        <v>33</v>
      </c>
      <c r="O559" s="12"/>
      <c r="P559" s="12" t="s">
        <v>25</v>
      </c>
      <c r="Q559" s="17" t="s">
        <v>684</v>
      </c>
    </row>
    <row r="560" spans="1:17" ht="24.9" customHeight="1">
      <c r="A560" s="2"/>
      <c r="B560" s="11" t="s">
        <v>2892</v>
      </c>
      <c r="C560" s="9" t="s">
        <v>2893</v>
      </c>
      <c r="D560" s="12" t="s">
        <v>2894</v>
      </c>
      <c r="E560" s="13" t="s">
        <v>2895</v>
      </c>
      <c r="F560" s="13" t="s">
        <v>2896</v>
      </c>
      <c r="G560" s="14">
        <v>499</v>
      </c>
      <c r="H560" s="14">
        <f t="shared" si="32"/>
        <v>374</v>
      </c>
      <c r="I560" s="14"/>
      <c r="J560" s="15">
        <f t="shared" si="33"/>
        <v>0</v>
      </c>
      <c r="K560" s="12" t="s">
        <v>80</v>
      </c>
      <c r="L560" s="16" t="str">
        <f t="shared" si="34"/>
        <v>9789862941423</v>
      </c>
      <c r="M560" s="29" t="str">
        <f t="shared" si="35"/>
        <v>https://search.books.com.tw/search/query/key/9789862941423</v>
      </c>
      <c r="N560" s="12" t="s">
        <v>33</v>
      </c>
      <c r="O560" s="12"/>
      <c r="P560" s="12" t="s">
        <v>35</v>
      </c>
      <c r="Q560" s="17" t="s">
        <v>36</v>
      </c>
    </row>
    <row r="561" spans="1:17" ht="24.9" customHeight="1">
      <c r="A561" s="2"/>
      <c r="B561" s="11" t="s">
        <v>2897</v>
      </c>
      <c r="C561" s="9" t="s">
        <v>2898</v>
      </c>
      <c r="D561" s="12" t="s">
        <v>1960</v>
      </c>
      <c r="E561" s="13" t="s">
        <v>2899</v>
      </c>
      <c r="F561" s="13" t="s">
        <v>2900</v>
      </c>
      <c r="G561" s="14">
        <v>340</v>
      </c>
      <c r="H561" s="14">
        <f t="shared" si="32"/>
        <v>255</v>
      </c>
      <c r="I561" s="14"/>
      <c r="J561" s="15">
        <f t="shared" si="33"/>
        <v>0</v>
      </c>
      <c r="K561" s="12" t="s">
        <v>1963</v>
      </c>
      <c r="L561" s="16" t="str">
        <f t="shared" si="34"/>
        <v>9786267281697</v>
      </c>
      <c r="M561" s="29" t="str">
        <f t="shared" si="35"/>
        <v>https://search.books.com.tw/search/query/key/9786267281697</v>
      </c>
      <c r="N561" s="12" t="s">
        <v>343</v>
      </c>
      <c r="O561" s="12"/>
      <c r="P561" s="12" t="s">
        <v>45</v>
      </c>
      <c r="Q561" s="17" t="s">
        <v>523</v>
      </c>
    </row>
    <row r="562" spans="1:17" ht="24.9" customHeight="1">
      <c r="A562" s="2"/>
      <c r="B562" s="11" t="s">
        <v>2901</v>
      </c>
      <c r="C562" s="9" t="s">
        <v>2902</v>
      </c>
      <c r="D562" s="12" t="s">
        <v>1960</v>
      </c>
      <c r="E562" s="13" t="s">
        <v>2903</v>
      </c>
      <c r="F562" s="13" t="s">
        <v>2904</v>
      </c>
      <c r="G562" s="14">
        <v>340</v>
      </c>
      <c r="H562" s="14">
        <f t="shared" si="32"/>
        <v>255</v>
      </c>
      <c r="I562" s="14"/>
      <c r="J562" s="15">
        <f t="shared" si="33"/>
        <v>0</v>
      </c>
      <c r="K562" s="12" t="s">
        <v>1963</v>
      </c>
      <c r="L562" s="16" t="str">
        <f t="shared" si="34"/>
        <v>9786267281772</v>
      </c>
      <c r="M562" s="29" t="str">
        <f t="shared" si="35"/>
        <v>https://search.books.com.tw/search/query/key/9786267281772</v>
      </c>
      <c r="N562" s="12" t="s">
        <v>343</v>
      </c>
      <c r="O562" s="12"/>
      <c r="P562" s="12" t="s">
        <v>45</v>
      </c>
      <c r="Q562" s="17" t="s">
        <v>523</v>
      </c>
    </row>
    <row r="563" spans="1:17" ht="24.9" customHeight="1">
      <c r="A563" s="2"/>
      <c r="B563" s="11" t="s">
        <v>2905</v>
      </c>
      <c r="C563" s="9" t="s">
        <v>2906</v>
      </c>
      <c r="D563" s="12" t="s">
        <v>2907</v>
      </c>
      <c r="E563" s="13" t="s">
        <v>2908</v>
      </c>
      <c r="F563" s="13" t="s">
        <v>2076</v>
      </c>
      <c r="G563" s="14">
        <v>480</v>
      </c>
      <c r="H563" s="14">
        <f t="shared" si="32"/>
        <v>360</v>
      </c>
      <c r="I563" s="14"/>
      <c r="J563" s="15">
        <f t="shared" si="33"/>
        <v>0</v>
      </c>
      <c r="K563" s="12" t="s">
        <v>1674</v>
      </c>
      <c r="L563" s="16" t="str">
        <f t="shared" si="34"/>
        <v>9786267811191</v>
      </c>
      <c r="M563" s="29" t="str">
        <f t="shared" si="35"/>
        <v>https://search.books.com.tw/search/query/key/9786267811191</v>
      </c>
      <c r="N563" s="12" t="s">
        <v>33</v>
      </c>
      <c r="O563" s="12"/>
      <c r="P563" s="12" t="s">
        <v>35</v>
      </c>
      <c r="Q563" s="17" t="s">
        <v>198</v>
      </c>
    </row>
    <row r="564" spans="1:17" ht="24.9" customHeight="1">
      <c r="A564" s="2"/>
      <c r="B564" s="11" t="s">
        <v>2909</v>
      </c>
      <c r="C564" s="9" t="s">
        <v>2910</v>
      </c>
      <c r="D564" s="12" t="s">
        <v>1044</v>
      </c>
      <c r="E564" s="13" t="s">
        <v>2911</v>
      </c>
      <c r="F564" s="13" t="s">
        <v>2912</v>
      </c>
      <c r="G564" s="14">
        <v>450</v>
      </c>
      <c r="H564" s="14">
        <f t="shared" si="32"/>
        <v>338</v>
      </c>
      <c r="I564" s="14"/>
      <c r="J564" s="15">
        <f t="shared" si="33"/>
        <v>0</v>
      </c>
      <c r="K564" s="12" t="s">
        <v>80</v>
      </c>
      <c r="L564" s="16" t="str">
        <f t="shared" si="34"/>
        <v>9789862944455</v>
      </c>
      <c r="M564" s="29" t="str">
        <f t="shared" si="35"/>
        <v>https://search.books.com.tw/search/query/key/9789862944455</v>
      </c>
      <c r="N564" s="12" t="s">
        <v>522</v>
      </c>
      <c r="O564" s="12"/>
      <c r="P564" s="12" t="s">
        <v>35</v>
      </c>
      <c r="Q564" s="17" t="s">
        <v>1392</v>
      </c>
    </row>
    <row r="565" spans="1:17" ht="24.9" customHeight="1">
      <c r="A565" s="2"/>
      <c r="B565" s="11" t="s">
        <v>2913</v>
      </c>
      <c r="C565" s="9" t="s">
        <v>2914</v>
      </c>
      <c r="D565" s="12" t="s">
        <v>2915</v>
      </c>
      <c r="E565" s="13" t="s">
        <v>2916</v>
      </c>
      <c r="F565" s="13" t="s">
        <v>2071</v>
      </c>
      <c r="G565" s="14">
        <v>380</v>
      </c>
      <c r="H565" s="14">
        <f t="shared" si="32"/>
        <v>285</v>
      </c>
      <c r="I565" s="14"/>
      <c r="J565" s="15">
        <f t="shared" si="33"/>
        <v>0</v>
      </c>
      <c r="K565" s="12" t="s">
        <v>567</v>
      </c>
      <c r="L565" s="16" t="str">
        <f t="shared" si="34"/>
        <v>9786263968448</v>
      </c>
      <c r="M565" s="29" t="str">
        <f t="shared" si="35"/>
        <v>https://search.books.com.tw/search/query/key/9786263968448</v>
      </c>
      <c r="N565" s="12" t="s">
        <v>33</v>
      </c>
      <c r="O565" s="12"/>
      <c r="P565" s="12" t="s">
        <v>45</v>
      </c>
      <c r="Q565" s="17" t="s">
        <v>1925</v>
      </c>
    </row>
    <row r="566" spans="1:17" ht="24.9" customHeight="1">
      <c r="A566" s="2"/>
      <c r="B566" s="11" t="s">
        <v>2917</v>
      </c>
      <c r="C566" s="9" t="s">
        <v>2918</v>
      </c>
      <c r="D566" s="12" t="s">
        <v>2919</v>
      </c>
      <c r="E566" s="13" t="s">
        <v>2920</v>
      </c>
      <c r="F566" s="13" t="s">
        <v>1701</v>
      </c>
      <c r="G566" s="14">
        <v>420</v>
      </c>
      <c r="H566" s="14">
        <f t="shared" si="32"/>
        <v>315</v>
      </c>
      <c r="I566" s="14"/>
      <c r="J566" s="15">
        <f t="shared" si="33"/>
        <v>0</v>
      </c>
      <c r="K566" s="12" t="s">
        <v>567</v>
      </c>
      <c r="L566" s="16" t="str">
        <f t="shared" si="34"/>
        <v>9786264196482</v>
      </c>
      <c r="M566" s="29" t="str">
        <f t="shared" si="35"/>
        <v>https://search.books.com.tw/search/query/key/9786264196482</v>
      </c>
      <c r="N566" s="12" t="s">
        <v>33</v>
      </c>
      <c r="O566" s="12"/>
      <c r="P566" s="12" t="s">
        <v>35</v>
      </c>
      <c r="Q566" s="17" t="s">
        <v>1492</v>
      </c>
    </row>
    <row r="567" spans="1:17" ht="24.9" customHeight="1">
      <c r="A567" s="2"/>
      <c r="B567" s="11" t="s">
        <v>2921</v>
      </c>
      <c r="C567" s="9" t="s">
        <v>2922</v>
      </c>
      <c r="D567" s="12" t="s">
        <v>2923</v>
      </c>
      <c r="E567" s="13" t="s">
        <v>2924</v>
      </c>
      <c r="F567" s="13" t="s">
        <v>2925</v>
      </c>
      <c r="G567" s="14">
        <v>799</v>
      </c>
      <c r="H567" s="14">
        <f t="shared" si="32"/>
        <v>599</v>
      </c>
      <c r="I567" s="14"/>
      <c r="J567" s="15">
        <f t="shared" si="33"/>
        <v>0</v>
      </c>
      <c r="K567" s="12" t="s">
        <v>355</v>
      </c>
      <c r="L567" s="16" t="str">
        <f t="shared" si="34"/>
        <v>9786263107816</v>
      </c>
      <c r="M567" s="29" t="str">
        <f t="shared" si="35"/>
        <v>https://search.books.com.tw/search/query/key/9786263107816</v>
      </c>
      <c r="N567" s="12" t="s">
        <v>33</v>
      </c>
      <c r="O567" s="12"/>
      <c r="P567" s="12" t="s">
        <v>25</v>
      </c>
      <c r="Q567" s="17" t="s">
        <v>26</v>
      </c>
    </row>
    <row r="568" spans="1:17" ht="24.9" customHeight="1">
      <c r="A568" s="2"/>
      <c r="B568" s="11" t="s">
        <v>2926</v>
      </c>
      <c r="C568" s="9" t="s">
        <v>2927</v>
      </c>
      <c r="D568" s="12" t="s">
        <v>2928</v>
      </c>
      <c r="E568" s="13" t="s">
        <v>2929</v>
      </c>
      <c r="F568" s="13" t="s">
        <v>2930</v>
      </c>
      <c r="G568" s="14">
        <v>700</v>
      </c>
      <c r="H568" s="14">
        <f t="shared" si="32"/>
        <v>525</v>
      </c>
      <c r="I568" s="14"/>
      <c r="J568" s="15">
        <f t="shared" si="33"/>
        <v>0</v>
      </c>
      <c r="K568" s="12" t="s">
        <v>567</v>
      </c>
      <c r="L568" s="16" t="str">
        <f t="shared" si="34"/>
        <v>9786264192590</v>
      </c>
      <c r="M568" s="29" t="str">
        <f t="shared" si="35"/>
        <v>https://search.books.com.tw/search/query/key/9786264192590</v>
      </c>
      <c r="N568" s="12" t="s">
        <v>33</v>
      </c>
      <c r="O568" s="12"/>
      <c r="P568" s="12" t="s">
        <v>384</v>
      </c>
      <c r="Q568" s="17" t="s">
        <v>1815</v>
      </c>
    </row>
    <row r="569" spans="1:17" ht="24.9" customHeight="1">
      <c r="A569" s="2"/>
      <c r="B569" s="11" t="s">
        <v>2931</v>
      </c>
      <c r="C569" s="9" t="s">
        <v>2932</v>
      </c>
      <c r="D569" s="12" t="s">
        <v>2933</v>
      </c>
      <c r="E569" s="13" t="s">
        <v>2934</v>
      </c>
      <c r="F569" s="13" t="s">
        <v>2716</v>
      </c>
      <c r="G569" s="14">
        <v>480</v>
      </c>
      <c r="H569" s="14">
        <f t="shared" si="32"/>
        <v>360</v>
      </c>
      <c r="I569" s="14"/>
      <c r="J569" s="15">
        <f t="shared" si="33"/>
        <v>0</v>
      </c>
      <c r="K569" s="12" t="s">
        <v>2935</v>
      </c>
      <c r="L569" s="16" t="str">
        <f t="shared" si="34"/>
        <v>9786267623077</v>
      </c>
      <c r="M569" s="29" t="str">
        <f t="shared" si="35"/>
        <v>https://search.books.com.tw/search/query/key/9786267623077</v>
      </c>
      <c r="N569" s="12" t="s">
        <v>33</v>
      </c>
      <c r="O569" s="12"/>
      <c r="P569" s="12" t="s">
        <v>393</v>
      </c>
      <c r="Q569" s="17" t="s">
        <v>394</v>
      </c>
    </row>
    <row r="570" spans="1:17" ht="24.9" customHeight="1">
      <c r="A570" s="2"/>
      <c r="B570" s="11" t="s">
        <v>2936</v>
      </c>
      <c r="C570" s="9" t="s">
        <v>2937</v>
      </c>
      <c r="D570" s="12" t="s">
        <v>340</v>
      </c>
      <c r="E570" s="13" t="s">
        <v>2938</v>
      </c>
      <c r="F570" s="13" t="s">
        <v>1803</v>
      </c>
      <c r="G570" s="14">
        <v>380</v>
      </c>
      <c r="H570" s="14">
        <f t="shared" si="32"/>
        <v>285</v>
      </c>
      <c r="I570" s="14"/>
      <c r="J570" s="15">
        <f t="shared" si="33"/>
        <v>0</v>
      </c>
      <c r="K570" s="12" t="s">
        <v>42</v>
      </c>
      <c r="L570" s="16" t="str">
        <f t="shared" si="34"/>
        <v>9789570875010</v>
      </c>
      <c r="M570" s="29" t="str">
        <f t="shared" si="35"/>
        <v>https://search.books.com.tw/search/query/key/9789570875010</v>
      </c>
      <c r="N570" s="12" t="s">
        <v>1047</v>
      </c>
      <c r="O570" s="12"/>
      <c r="P570" s="12" t="s">
        <v>25</v>
      </c>
      <c r="Q570" s="17" t="s">
        <v>1420</v>
      </c>
    </row>
    <row r="571" spans="1:17" ht="24.9" customHeight="1">
      <c r="A571" s="2"/>
      <c r="B571" s="11" t="s">
        <v>2939</v>
      </c>
      <c r="C571" s="9" t="s">
        <v>2940</v>
      </c>
      <c r="D571" s="12" t="s">
        <v>2275</v>
      </c>
      <c r="E571" s="13" t="s">
        <v>2941</v>
      </c>
      <c r="F571" s="13" t="s">
        <v>2942</v>
      </c>
      <c r="G571" s="14">
        <v>380</v>
      </c>
      <c r="H571" s="14">
        <f t="shared" si="32"/>
        <v>285</v>
      </c>
      <c r="I571" s="14"/>
      <c r="J571" s="15">
        <f t="shared" si="33"/>
        <v>0</v>
      </c>
      <c r="K571" s="12" t="s">
        <v>157</v>
      </c>
      <c r="L571" s="16" t="str">
        <f t="shared" si="34"/>
        <v>9786263666580</v>
      </c>
      <c r="M571" s="29" t="str">
        <f t="shared" si="35"/>
        <v>https://search.books.com.tw/search/query/key/9786263666580</v>
      </c>
      <c r="N571" s="12" t="s">
        <v>343</v>
      </c>
      <c r="O571" s="12"/>
      <c r="P571" s="12" t="s">
        <v>393</v>
      </c>
      <c r="Q571" s="17" t="s">
        <v>2943</v>
      </c>
    </row>
    <row r="572" spans="1:17" ht="24.9" customHeight="1">
      <c r="A572" s="2"/>
      <c r="B572" s="11" t="s">
        <v>2944</v>
      </c>
      <c r="C572" s="9" t="s">
        <v>2945</v>
      </c>
      <c r="D572" s="12" t="s">
        <v>2946</v>
      </c>
      <c r="E572" s="13" t="s">
        <v>2947</v>
      </c>
      <c r="F572" s="13" t="s">
        <v>2948</v>
      </c>
      <c r="G572" s="14">
        <v>520</v>
      </c>
      <c r="H572" s="14">
        <f t="shared" si="32"/>
        <v>390</v>
      </c>
      <c r="I572" s="14"/>
      <c r="J572" s="15">
        <f t="shared" si="33"/>
        <v>0</v>
      </c>
      <c r="K572" s="12" t="s">
        <v>567</v>
      </c>
      <c r="L572" s="16" t="str">
        <f t="shared" si="34"/>
        <v>9786264445320</v>
      </c>
      <c r="M572" s="29" t="str">
        <f t="shared" si="35"/>
        <v>https://search.books.com.tw/search/query/key/9786264445320</v>
      </c>
      <c r="N572" s="12" t="s">
        <v>33</v>
      </c>
      <c r="O572" s="12"/>
      <c r="P572" s="12" t="s">
        <v>393</v>
      </c>
      <c r="Q572" s="17" t="s">
        <v>2949</v>
      </c>
    </row>
    <row r="573" spans="1:17" ht="24.9" customHeight="1">
      <c r="A573" s="2"/>
      <c r="B573" s="11" t="s">
        <v>2950</v>
      </c>
      <c r="C573" s="9" t="s">
        <v>2951</v>
      </c>
      <c r="D573" s="12" t="s">
        <v>417</v>
      </c>
      <c r="E573" s="13" t="s">
        <v>2952</v>
      </c>
      <c r="F573" s="13" t="s">
        <v>1266</v>
      </c>
      <c r="G573" s="14">
        <v>320</v>
      </c>
      <c r="H573" s="14">
        <f t="shared" si="32"/>
        <v>240</v>
      </c>
      <c r="I573" s="14"/>
      <c r="J573" s="15">
        <f t="shared" si="33"/>
        <v>0</v>
      </c>
      <c r="K573" s="12" t="s">
        <v>22</v>
      </c>
      <c r="L573" s="16" t="str">
        <f t="shared" si="34"/>
        <v>9789865566081</v>
      </c>
      <c r="M573" s="29" t="str">
        <f t="shared" si="35"/>
        <v>https://search.books.com.tw/search/query/key/9789865566081</v>
      </c>
      <c r="N573" s="12" t="s">
        <v>343</v>
      </c>
      <c r="O573" s="12"/>
      <c r="P573" s="12" t="s">
        <v>45</v>
      </c>
      <c r="Q573" s="17" t="s">
        <v>523</v>
      </c>
    </row>
    <row r="574" spans="1:17" ht="24.9" customHeight="1">
      <c r="A574" s="2"/>
      <c r="B574" s="11" t="s">
        <v>2953</v>
      </c>
      <c r="C574" s="9" t="s">
        <v>2954</v>
      </c>
      <c r="D574" s="12" t="s">
        <v>2955</v>
      </c>
      <c r="E574" s="13" t="s">
        <v>2956</v>
      </c>
      <c r="F574" s="13" t="s">
        <v>2957</v>
      </c>
      <c r="G574" s="14">
        <v>200</v>
      </c>
      <c r="H574" s="14">
        <f t="shared" si="32"/>
        <v>150</v>
      </c>
      <c r="I574" s="14"/>
      <c r="J574" s="15">
        <f t="shared" si="33"/>
        <v>0</v>
      </c>
      <c r="K574" s="12" t="s">
        <v>42</v>
      </c>
      <c r="L574" s="16" t="str">
        <f t="shared" si="34"/>
        <v>9789570874532</v>
      </c>
      <c r="M574" s="29" t="str">
        <f t="shared" si="35"/>
        <v>https://search.books.com.tw/search/query/key/9789570874532</v>
      </c>
      <c r="N574" s="12" t="s">
        <v>33</v>
      </c>
      <c r="O574" s="12"/>
      <c r="P574" s="12" t="s">
        <v>45</v>
      </c>
      <c r="Q574" s="17" t="s">
        <v>1925</v>
      </c>
    </row>
    <row r="575" spans="1:17" ht="24.9" customHeight="1">
      <c r="A575" s="2"/>
      <c r="B575" s="11" t="s">
        <v>2958</v>
      </c>
      <c r="C575" s="9" t="s">
        <v>2959</v>
      </c>
      <c r="D575" s="12" t="s">
        <v>2960</v>
      </c>
      <c r="E575" s="13" t="s">
        <v>2961</v>
      </c>
      <c r="F575" s="13" t="s">
        <v>1477</v>
      </c>
      <c r="G575" s="14">
        <v>350</v>
      </c>
      <c r="H575" s="14">
        <f t="shared" si="32"/>
        <v>263</v>
      </c>
      <c r="I575" s="14"/>
      <c r="J575" s="15">
        <f t="shared" si="33"/>
        <v>0</v>
      </c>
      <c r="K575" s="12" t="s">
        <v>22</v>
      </c>
      <c r="L575" s="16" t="str">
        <f t="shared" si="34"/>
        <v>9786267350195</v>
      </c>
      <c r="M575" s="29" t="str">
        <f t="shared" si="35"/>
        <v>https://search.books.com.tw/search/query/key/9786267350195</v>
      </c>
      <c r="N575" s="12" t="s">
        <v>43</v>
      </c>
      <c r="O575" s="12"/>
      <c r="P575" s="12" t="s">
        <v>45</v>
      </c>
      <c r="Q575" s="17" t="s">
        <v>523</v>
      </c>
    </row>
    <row r="576" spans="1:17" ht="24.9" customHeight="1">
      <c r="A576" s="2"/>
      <c r="B576" s="11" t="s">
        <v>2962</v>
      </c>
      <c r="C576" s="9" t="s">
        <v>2963</v>
      </c>
      <c r="D576" s="12" t="s">
        <v>2964</v>
      </c>
      <c r="E576" s="13" t="s">
        <v>2965</v>
      </c>
      <c r="F576" s="13" t="s">
        <v>2082</v>
      </c>
      <c r="G576" s="14">
        <v>380</v>
      </c>
      <c r="H576" s="14">
        <f t="shared" si="32"/>
        <v>285</v>
      </c>
      <c r="I576" s="14"/>
      <c r="J576" s="15">
        <f t="shared" si="33"/>
        <v>0</v>
      </c>
      <c r="K576" s="12" t="s">
        <v>63</v>
      </c>
      <c r="L576" s="16" t="str">
        <f t="shared" si="34"/>
        <v>9789865082932</v>
      </c>
      <c r="M576" s="29" t="str">
        <f t="shared" si="35"/>
        <v>https://search.books.com.tw/search/query/key/9789865082932</v>
      </c>
      <c r="N576" s="12" t="s">
        <v>43</v>
      </c>
      <c r="O576" s="12"/>
      <c r="P576" s="12" t="s">
        <v>73</v>
      </c>
      <c r="Q576" s="17" t="s">
        <v>309</v>
      </c>
    </row>
    <row r="577" spans="1:17" ht="24.9" customHeight="1">
      <c r="A577" s="2"/>
      <c r="B577" s="11" t="s">
        <v>2966</v>
      </c>
      <c r="C577" s="9" t="s">
        <v>2967</v>
      </c>
      <c r="D577" s="12" t="s">
        <v>2923</v>
      </c>
      <c r="E577" s="13" t="s">
        <v>2968</v>
      </c>
      <c r="F577" s="13" t="s">
        <v>2969</v>
      </c>
      <c r="G577" s="14">
        <v>780</v>
      </c>
      <c r="H577" s="14">
        <f t="shared" si="32"/>
        <v>585</v>
      </c>
      <c r="I577" s="14"/>
      <c r="J577" s="15">
        <f t="shared" si="33"/>
        <v>0</v>
      </c>
      <c r="K577" s="12" t="s">
        <v>42</v>
      </c>
      <c r="L577" s="16" t="str">
        <f t="shared" si="34"/>
        <v>9789570873085</v>
      </c>
      <c r="M577" s="29" t="str">
        <f t="shared" si="35"/>
        <v>https://search.books.com.tw/search/query/key/9789570873085</v>
      </c>
      <c r="N577" s="12" t="s">
        <v>33</v>
      </c>
      <c r="O577" s="12"/>
      <c r="P577" s="12" t="s">
        <v>45</v>
      </c>
      <c r="Q577" s="17" t="s">
        <v>26</v>
      </c>
    </row>
    <row r="578" spans="1:17" ht="24.9" customHeight="1">
      <c r="A578" s="2"/>
      <c r="B578" s="11" t="s">
        <v>2970</v>
      </c>
      <c r="C578" s="9" t="s">
        <v>2971</v>
      </c>
      <c r="D578" s="12" t="s">
        <v>2972</v>
      </c>
      <c r="E578" s="13" t="s">
        <v>2973</v>
      </c>
      <c r="F578" s="13" t="s">
        <v>2974</v>
      </c>
      <c r="G578" s="14">
        <v>360</v>
      </c>
      <c r="H578" s="14">
        <f t="shared" ref="H578:H641" si="36">ROUND(G578*75%,0)</f>
        <v>270</v>
      </c>
      <c r="I578" s="14"/>
      <c r="J578" s="15">
        <f t="shared" ref="J578:J641" si="37">H578*I578</f>
        <v>0</v>
      </c>
      <c r="K578" s="12" t="s">
        <v>704</v>
      </c>
      <c r="L578" s="16" t="str">
        <f t="shared" ref="L578:L641" si="38">HYPERLINK(M578,E578)</f>
        <v>9786263903029</v>
      </c>
      <c r="M578" s="29" t="str">
        <f t="shared" ref="M578:M641" si="39">"https://search.books.com.tw/search/query/key/"&amp;E578</f>
        <v>https://search.books.com.tw/search/query/key/9786263903029</v>
      </c>
      <c r="N578" s="12" t="s">
        <v>33</v>
      </c>
      <c r="O578" s="12"/>
      <c r="P578" s="12" t="s">
        <v>73</v>
      </c>
      <c r="Q578" s="17" t="s">
        <v>2661</v>
      </c>
    </row>
    <row r="579" spans="1:17" ht="24.9" customHeight="1">
      <c r="A579" s="2"/>
      <c r="B579" s="11" t="s">
        <v>2975</v>
      </c>
      <c r="C579" s="9" t="s">
        <v>2976</v>
      </c>
      <c r="D579" s="12" t="s">
        <v>2977</v>
      </c>
      <c r="E579" s="13" t="s">
        <v>2978</v>
      </c>
      <c r="F579" s="13" t="s">
        <v>2979</v>
      </c>
      <c r="G579" s="14">
        <v>380</v>
      </c>
      <c r="H579" s="14">
        <f t="shared" si="36"/>
        <v>285</v>
      </c>
      <c r="I579" s="14"/>
      <c r="J579" s="15">
        <f t="shared" si="37"/>
        <v>0</v>
      </c>
      <c r="K579" s="12" t="s">
        <v>42</v>
      </c>
      <c r="L579" s="16" t="str">
        <f t="shared" si="38"/>
        <v>9789570878042</v>
      </c>
      <c r="M579" s="29" t="str">
        <f t="shared" si="39"/>
        <v>https://search.books.com.tw/search/query/key/9789570878042</v>
      </c>
      <c r="N579" s="12" t="s">
        <v>343</v>
      </c>
      <c r="O579" s="12"/>
      <c r="P579" s="12" t="s">
        <v>45</v>
      </c>
      <c r="Q579" s="17" t="s">
        <v>523</v>
      </c>
    </row>
    <row r="580" spans="1:17" ht="24.9" customHeight="1">
      <c r="A580" s="2"/>
      <c r="B580" s="11" t="s">
        <v>2980</v>
      </c>
      <c r="C580" s="9" t="s">
        <v>2981</v>
      </c>
      <c r="D580" s="12" t="s">
        <v>2982</v>
      </c>
      <c r="E580" s="13" t="s">
        <v>2983</v>
      </c>
      <c r="F580" s="13" t="s">
        <v>2984</v>
      </c>
      <c r="G580" s="14">
        <v>420</v>
      </c>
      <c r="H580" s="14">
        <f t="shared" si="36"/>
        <v>315</v>
      </c>
      <c r="I580" s="14"/>
      <c r="J580" s="15">
        <f t="shared" si="37"/>
        <v>0</v>
      </c>
      <c r="K580" s="12" t="s">
        <v>2985</v>
      </c>
      <c r="L580" s="16" t="str">
        <f t="shared" si="38"/>
        <v>9786267171844</v>
      </c>
      <c r="M580" s="29" t="str">
        <f t="shared" si="39"/>
        <v>https://search.books.com.tw/search/query/key/9786267171844</v>
      </c>
      <c r="N580" s="12" t="s">
        <v>33</v>
      </c>
      <c r="O580" s="12"/>
      <c r="P580" s="12" t="s">
        <v>73</v>
      </c>
      <c r="Q580" s="17" t="s">
        <v>1755</v>
      </c>
    </row>
    <row r="581" spans="1:17" ht="24.9" customHeight="1">
      <c r="A581" s="2"/>
      <c r="B581" s="11" t="s">
        <v>2986</v>
      </c>
      <c r="C581" s="9" t="s">
        <v>2987</v>
      </c>
      <c r="D581" s="12" t="s">
        <v>2259</v>
      </c>
      <c r="E581" s="13" t="s">
        <v>2988</v>
      </c>
      <c r="F581" s="13" t="s">
        <v>2357</v>
      </c>
      <c r="G581" s="14">
        <v>360</v>
      </c>
      <c r="H581" s="14">
        <f t="shared" si="36"/>
        <v>270</v>
      </c>
      <c r="I581" s="14"/>
      <c r="J581" s="15">
        <f t="shared" si="37"/>
        <v>0</v>
      </c>
      <c r="K581" s="12" t="s">
        <v>22</v>
      </c>
      <c r="L581" s="16" t="str">
        <f t="shared" si="38"/>
        <v>9786267043530</v>
      </c>
      <c r="M581" s="29" t="str">
        <f t="shared" si="39"/>
        <v>https://search.books.com.tw/search/query/key/9786267043530</v>
      </c>
      <c r="N581" s="12" t="s">
        <v>343</v>
      </c>
      <c r="O581" s="12"/>
      <c r="P581" s="12" t="s">
        <v>45</v>
      </c>
      <c r="Q581" s="17" t="s">
        <v>523</v>
      </c>
    </row>
    <row r="582" spans="1:17" ht="24.9" customHeight="1">
      <c r="A582" s="2"/>
      <c r="B582" s="11" t="s">
        <v>2989</v>
      </c>
      <c r="C582" s="9" t="s">
        <v>2990</v>
      </c>
      <c r="D582" s="12" t="s">
        <v>1299</v>
      </c>
      <c r="E582" s="13" t="s">
        <v>2991</v>
      </c>
      <c r="F582" s="13" t="s">
        <v>845</v>
      </c>
      <c r="G582" s="14">
        <v>320</v>
      </c>
      <c r="H582" s="14">
        <f t="shared" si="36"/>
        <v>240</v>
      </c>
      <c r="I582" s="14"/>
      <c r="J582" s="15">
        <f t="shared" si="37"/>
        <v>0</v>
      </c>
      <c r="K582" s="12" t="s">
        <v>22</v>
      </c>
      <c r="L582" s="16" t="str">
        <f t="shared" si="38"/>
        <v>9789865513450</v>
      </c>
      <c r="M582" s="29" t="str">
        <f t="shared" si="39"/>
        <v>https://search.books.com.tw/search/query/key/9789865513450</v>
      </c>
      <c r="N582" s="12" t="s">
        <v>43</v>
      </c>
      <c r="O582" s="12"/>
      <c r="P582" s="12" t="s">
        <v>45</v>
      </c>
      <c r="Q582" s="17" t="s">
        <v>1307</v>
      </c>
    </row>
    <row r="583" spans="1:17" ht="24.9" customHeight="1">
      <c r="A583" s="2"/>
      <c r="B583" s="11" t="s">
        <v>2992</v>
      </c>
      <c r="C583" s="9" t="s">
        <v>2993</v>
      </c>
      <c r="D583" s="12" t="s">
        <v>2994</v>
      </c>
      <c r="E583" s="13" t="s">
        <v>2995</v>
      </c>
      <c r="F583" s="13" t="s">
        <v>2688</v>
      </c>
      <c r="G583" s="14">
        <v>420</v>
      </c>
      <c r="H583" s="14">
        <f t="shared" si="36"/>
        <v>315</v>
      </c>
      <c r="I583" s="14"/>
      <c r="J583" s="15">
        <f t="shared" si="37"/>
        <v>0</v>
      </c>
      <c r="K583" s="12" t="s">
        <v>1963</v>
      </c>
      <c r="L583" s="16" t="str">
        <f t="shared" si="38"/>
        <v>9786267525081</v>
      </c>
      <c r="M583" s="29" t="str">
        <f t="shared" si="39"/>
        <v>https://search.books.com.tw/search/query/key/9786267525081</v>
      </c>
      <c r="N583" s="12" t="s">
        <v>343</v>
      </c>
      <c r="O583" s="12"/>
      <c r="P583" s="12" t="s">
        <v>45</v>
      </c>
      <c r="Q583" s="17" t="s">
        <v>2996</v>
      </c>
    </row>
    <row r="584" spans="1:17" ht="24.9" customHeight="1">
      <c r="A584" s="2"/>
      <c r="B584" s="11" t="s">
        <v>2997</v>
      </c>
      <c r="C584" s="9" t="s">
        <v>2998</v>
      </c>
      <c r="D584" s="12" t="s">
        <v>324</v>
      </c>
      <c r="E584" s="13" t="s">
        <v>2999</v>
      </c>
      <c r="F584" s="13" t="s">
        <v>2925</v>
      </c>
      <c r="G584" s="14">
        <v>480</v>
      </c>
      <c r="H584" s="14">
        <f t="shared" si="36"/>
        <v>360</v>
      </c>
      <c r="I584" s="14"/>
      <c r="J584" s="15">
        <f t="shared" si="37"/>
        <v>0</v>
      </c>
      <c r="K584" s="12" t="s">
        <v>150</v>
      </c>
      <c r="L584" s="16" t="str">
        <f t="shared" si="38"/>
        <v>9789862627280</v>
      </c>
      <c r="M584" s="29" t="str">
        <f t="shared" si="39"/>
        <v>https://search.books.com.tw/search/query/key/9789862627280</v>
      </c>
      <c r="N584" s="12" t="s">
        <v>33</v>
      </c>
      <c r="O584" s="12"/>
      <c r="P584" s="12" t="s">
        <v>25</v>
      </c>
      <c r="Q584" s="17" t="s">
        <v>684</v>
      </c>
    </row>
    <row r="585" spans="1:17" ht="24.9" customHeight="1">
      <c r="A585" s="2"/>
      <c r="B585" s="11" t="s">
        <v>3000</v>
      </c>
      <c r="C585" s="9" t="s">
        <v>3001</v>
      </c>
      <c r="D585" s="12" t="s">
        <v>324</v>
      </c>
      <c r="E585" s="13" t="s">
        <v>3002</v>
      </c>
      <c r="F585" s="13" t="s">
        <v>1867</v>
      </c>
      <c r="G585" s="14">
        <v>399</v>
      </c>
      <c r="H585" s="14">
        <f t="shared" si="36"/>
        <v>299</v>
      </c>
      <c r="I585" s="14"/>
      <c r="J585" s="15">
        <f t="shared" si="37"/>
        <v>0</v>
      </c>
      <c r="K585" s="12" t="s">
        <v>150</v>
      </c>
      <c r="L585" s="16" t="str">
        <f t="shared" si="38"/>
        <v>9789862627334</v>
      </c>
      <c r="M585" s="29" t="str">
        <f t="shared" si="39"/>
        <v>https://search.books.com.tw/search/query/key/9789862627334</v>
      </c>
      <c r="N585" s="12" t="s">
        <v>33</v>
      </c>
      <c r="O585" s="12"/>
      <c r="P585" s="12" t="s">
        <v>25</v>
      </c>
      <c r="Q585" s="17" t="s">
        <v>684</v>
      </c>
    </row>
    <row r="586" spans="1:17" ht="24.9" customHeight="1">
      <c r="A586" s="2"/>
      <c r="B586" s="11" t="s">
        <v>3003</v>
      </c>
      <c r="C586" s="9" t="s">
        <v>3004</v>
      </c>
      <c r="D586" s="12" t="s">
        <v>324</v>
      </c>
      <c r="E586" s="13" t="s">
        <v>3005</v>
      </c>
      <c r="F586" s="13" t="s">
        <v>1863</v>
      </c>
      <c r="G586" s="14">
        <v>510</v>
      </c>
      <c r="H586" s="14">
        <f t="shared" si="36"/>
        <v>383</v>
      </c>
      <c r="I586" s="14"/>
      <c r="J586" s="15">
        <f t="shared" si="37"/>
        <v>0</v>
      </c>
      <c r="K586" s="12" t="s">
        <v>150</v>
      </c>
      <c r="L586" s="16" t="str">
        <f t="shared" si="38"/>
        <v>9789862627112</v>
      </c>
      <c r="M586" s="29" t="str">
        <f t="shared" si="39"/>
        <v>https://search.books.com.tw/search/query/key/9789862627112</v>
      </c>
      <c r="N586" s="12" t="s">
        <v>33</v>
      </c>
      <c r="O586" s="12"/>
      <c r="P586" s="12" t="s">
        <v>25</v>
      </c>
      <c r="Q586" s="17" t="s">
        <v>684</v>
      </c>
    </row>
    <row r="587" spans="1:17" ht="24.9" customHeight="1">
      <c r="A587" s="2"/>
      <c r="B587" s="11" t="s">
        <v>3006</v>
      </c>
      <c r="C587" s="9" t="s">
        <v>3007</v>
      </c>
      <c r="D587" s="12" t="s">
        <v>324</v>
      </c>
      <c r="E587" s="13" t="s">
        <v>3008</v>
      </c>
      <c r="F587" s="13" t="s">
        <v>3009</v>
      </c>
      <c r="G587" s="14">
        <v>380</v>
      </c>
      <c r="H587" s="14">
        <f t="shared" si="36"/>
        <v>285</v>
      </c>
      <c r="I587" s="14"/>
      <c r="J587" s="15">
        <f t="shared" si="37"/>
        <v>0</v>
      </c>
      <c r="K587" s="12" t="s">
        <v>150</v>
      </c>
      <c r="L587" s="16" t="str">
        <f t="shared" si="38"/>
        <v>9789862626955</v>
      </c>
      <c r="M587" s="29" t="str">
        <f t="shared" si="39"/>
        <v>https://search.books.com.tw/search/query/key/9789862626955</v>
      </c>
      <c r="N587" s="12" t="s">
        <v>33</v>
      </c>
      <c r="O587" s="12"/>
      <c r="P587" s="12" t="s">
        <v>25</v>
      </c>
      <c r="Q587" s="17" t="s">
        <v>684</v>
      </c>
    </row>
    <row r="588" spans="1:17" ht="24.9" customHeight="1">
      <c r="A588" s="2"/>
      <c r="B588" s="11" t="s">
        <v>3010</v>
      </c>
      <c r="C588" s="9" t="s">
        <v>3011</v>
      </c>
      <c r="D588" s="12" t="s">
        <v>3012</v>
      </c>
      <c r="E588" s="13" t="s">
        <v>3013</v>
      </c>
      <c r="F588" s="13" t="s">
        <v>2243</v>
      </c>
      <c r="G588" s="14">
        <v>380</v>
      </c>
      <c r="H588" s="14">
        <f t="shared" si="36"/>
        <v>285</v>
      </c>
      <c r="I588" s="14"/>
      <c r="J588" s="15">
        <f t="shared" si="37"/>
        <v>0</v>
      </c>
      <c r="K588" s="12" t="s">
        <v>80</v>
      </c>
      <c r="L588" s="16" t="str">
        <f t="shared" si="38"/>
        <v>9789862943700</v>
      </c>
      <c r="M588" s="29" t="str">
        <f t="shared" si="39"/>
        <v>https://search.books.com.tw/search/query/key/9789862943700</v>
      </c>
      <c r="N588" s="12" t="s">
        <v>33</v>
      </c>
      <c r="O588" s="12"/>
      <c r="P588" s="12" t="s">
        <v>45</v>
      </c>
      <c r="Q588" s="17" t="s">
        <v>1925</v>
      </c>
    </row>
    <row r="589" spans="1:17" ht="24.9" customHeight="1">
      <c r="A589" s="2"/>
      <c r="B589" s="11" t="s">
        <v>3014</v>
      </c>
      <c r="C589" s="9" t="s">
        <v>3015</v>
      </c>
      <c r="D589" s="12" t="s">
        <v>3016</v>
      </c>
      <c r="E589" s="13" t="s">
        <v>3017</v>
      </c>
      <c r="F589" s="13" t="s">
        <v>3018</v>
      </c>
      <c r="G589" s="14">
        <v>420</v>
      </c>
      <c r="H589" s="14">
        <f t="shared" si="36"/>
        <v>315</v>
      </c>
      <c r="I589" s="14"/>
      <c r="J589" s="15">
        <f t="shared" si="37"/>
        <v>0</v>
      </c>
      <c r="K589" s="12" t="s">
        <v>567</v>
      </c>
      <c r="L589" s="16" t="str">
        <f t="shared" si="38"/>
        <v>9786264195188</v>
      </c>
      <c r="M589" s="29" t="str">
        <f t="shared" si="39"/>
        <v>https://search.books.com.tw/search/query/key/9786264195188</v>
      </c>
      <c r="N589" s="12" t="s">
        <v>33</v>
      </c>
      <c r="O589" s="12"/>
      <c r="P589" s="12" t="s">
        <v>35</v>
      </c>
      <c r="Q589" s="17" t="s">
        <v>706</v>
      </c>
    </row>
    <row r="590" spans="1:17" ht="24.9" customHeight="1">
      <c r="A590" s="2"/>
      <c r="B590" s="11" t="s">
        <v>3019</v>
      </c>
      <c r="C590" s="9" t="s">
        <v>3020</v>
      </c>
      <c r="D590" s="12" t="s">
        <v>1299</v>
      </c>
      <c r="E590" s="13" t="s">
        <v>3021</v>
      </c>
      <c r="F590" s="13" t="s">
        <v>156</v>
      </c>
      <c r="G590" s="14">
        <v>380</v>
      </c>
      <c r="H590" s="14">
        <f t="shared" si="36"/>
        <v>285</v>
      </c>
      <c r="I590" s="14"/>
      <c r="J590" s="15">
        <f t="shared" si="37"/>
        <v>0</v>
      </c>
      <c r="K590" s="12" t="s">
        <v>22</v>
      </c>
      <c r="L590" s="16" t="str">
        <f t="shared" si="38"/>
        <v>9789574906239</v>
      </c>
      <c r="M590" s="29" t="str">
        <f t="shared" si="39"/>
        <v>https://search.books.com.tw/search/query/key/9789574906239</v>
      </c>
      <c r="N590" s="12" t="s">
        <v>343</v>
      </c>
      <c r="O590" s="12"/>
      <c r="P590" s="12" t="s">
        <v>393</v>
      </c>
      <c r="Q590" s="17" t="s">
        <v>2943</v>
      </c>
    </row>
    <row r="591" spans="1:17" ht="24.9" customHeight="1">
      <c r="A591" s="2"/>
      <c r="B591" s="11" t="s">
        <v>3022</v>
      </c>
      <c r="C591" s="9" t="s">
        <v>3023</v>
      </c>
      <c r="D591" s="12" t="s">
        <v>3024</v>
      </c>
      <c r="E591" s="13" t="s">
        <v>3025</v>
      </c>
      <c r="F591" s="13" t="s">
        <v>3026</v>
      </c>
      <c r="G591" s="14">
        <v>650</v>
      </c>
      <c r="H591" s="14">
        <f t="shared" si="36"/>
        <v>488</v>
      </c>
      <c r="I591" s="14"/>
      <c r="J591" s="15">
        <f t="shared" si="37"/>
        <v>0</v>
      </c>
      <c r="K591" s="12" t="s">
        <v>2689</v>
      </c>
      <c r="L591" s="16" t="str">
        <f t="shared" si="38"/>
        <v>9786269778195</v>
      </c>
      <c r="M591" s="29" t="str">
        <f t="shared" si="39"/>
        <v>https://search.books.com.tw/search/query/key/9786269778195</v>
      </c>
      <c r="N591" s="12" t="s">
        <v>33</v>
      </c>
      <c r="O591" s="12"/>
      <c r="P591" s="12" t="s">
        <v>384</v>
      </c>
      <c r="Q591" s="17" t="s">
        <v>706</v>
      </c>
    </row>
    <row r="592" spans="1:17" ht="24.9" customHeight="1">
      <c r="A592" s="2"/>
      <c r="B592" s="11" t="s">
        <v>3027</v>
      </c>
      <c r="C592" s="9" t="s">
        <v>3028</v>
      </c>
      <c r="D592" s="12" t="s">
        <v>97</v>
      </c>
      <c r="E592" s="13" t="s">
        <v>3029</v>
      </c>
      <c r="F592" s="13" t="s">
        <v>1187</v>
      </c>
      <c r="G592" s="14">
        <v>350</v>
      </c>
      <c r="H592" s="14">
        <f t="shared" si="36"/>
        <v>263</v>
      </c>
      <c r="I592" s="14"/>
      <c r="J592" s="15">
        <f t="shared" si="37"/>
        <v>0</v>
      </c>
      <c r="K592" s="12" t="s">
        <v>100</v>
      </c>
      <c r="L592" s="16" t="str">
        <f t="shared" si="38"/>
        <v>9789861786957</v>
      </c>
      <c r="M592" s="29" t="str">
        <f t="shared" si="39"/>
        <v>https://search.books.com.tw/search/query/key/9789861786957</v>
      </c>
      <c r="N592" s="12" t="s">
        <v>33</v>
      </c>
      <c r="O592" s="12"/>
      <c r="P592" s="12" t="s">
        <v>35</v>
      </c>
      <c r="Q592" s="17" t="s">
        <v>198</v>
      </c>
    </row>
    <row r="593" spans="1:17" ht="24.9" customHeight="1">
      <c r="A593" s="2"/>
      <c r="B593" s="11" t="s">
        <v>3030</v>
      </c>
      <c r="C593" s="9" t="s">
        <v>3031</v>
      </c>
      <c r="D593" s="12" t="s">
        <v>3032</v>
      </c>
      <c r="E593" s="13" t="s">
        <v>3033</v>
      </c>
      <c r="F593" s="13" t="s">
        <v>3034</v>
      </c>
      <c r="G593" s="14">
        <v>350</v>
      </c>
      <c r="H593" s="14">
        <f t="shared" si="36"/>
        <v>263</v>
      </c>
      <c r="I593" s="14"/>
      <c r="J593" s="15">
        <f t="shared" si="37"/>
        <v>0</v>
      </c>
      <c r="K593" s="12" t="s">
        <v>3035</v>
      </c>
      <c r="L593" s="16" t="str">
        <f t="shared" si="38"/>
        <v>9789864801183</v>
      </c>
      <c r="M593" s="29" t="str">
        <f t="shared" si="39"/>
        <v>https://search.books.com.tw/search/query/key/9789864801183</v>
      </c>
      <c r="N593" s="12" t="s">
        <v>33</v>
      </c>
      <c r="O593" s="12"/>
      <c r="P593" s="12" t="s">
        <v>35</v>
      </c>
      <c r="Q593" s="17" t="s">
        <v>36</v>
      </c>
    </row>
    <row r="594" spans="1:17" ht="24.9" customHeight="1">
      <c r="A594" s="2"/>
      <c r="B594" s="11" t="s">
        <v>3036</v>
      </c>
      <c r="C594" s="9" t="s">
        <v>3037</v>
      </c>
      <c r="D594" s="12" t="s">
        <v>3038</v>
      </c>
      <c r="E594" s="13" t="s">
        <v>3039</v>
      </c>
      <c r="F594" s="13" t="s">
        <v>3040</v>
      </c>
      <c r="G594" s="14">
        <v>590</v>
      </c>
      <c r="H594" s="14">
        <f t="shared" si="36"/>
        <v>443</v>
      </c>
      <c r="I594" s="14"/>
      <c r="J594" s="15">
        <f t="shared" si="37"/>
        <v>0</v>
      </c>
      <c r="K594" s="12" t="s">
        <v>349</v>
      </c>
      <c r="L594" s="16" t="str">
        <f t="shared" si="38"/>
        <v>9786263209022</v>
      </c>
      <c r="M594" s="29" t="str">
        <f t="shared" si="39"/>
        <v>https://search.books.com.tw/search/query/key/9786263209022</v>
      </c>
      <c r="N594" s="12" t="s">
        <v>23</v>
      </c>
      <c r="O594" s="12"/>
      <c r="P594" s="12" t="s">
        <v>384</v>
      </c>
      <c r="Q594" s="17" t="s">
        <v>1696</v>
      </c>
    </row>
    <row r="595" spans="1:17" ht="24.9" customHeight="1">
      <c r="A595" s="2"/>
      <c r="B595" s="11" t="s">
        <v>3041</v>
      </c>
      <c r="C595" s="9" t="s">
        <v>3042</v>
      </c>
      <c r="D595" s="12" t="s">
        <v>3043</v>
      </c>
      <c r="E595" s="13" t="s">
        <v>3044</v>
      </c>
      <c r="F595" s="13" t="s">
        <v>2650</v>
      </c>
      <c r="G595" s="14">
        <v>450</v>
      </c>
      <c r="H595" s="14">
        <f t="shared" si="36"/>
        <v>338</v>
      </c>
      <c r="I595" s="14"/>
      <c r="J595" s="15">
        <f t="shared" si="37"/>
        <v>0</v>
      </c>
      <c r="K595" s="12" t="s">
        <v>349</v>
      </c>
      <c r="L595" s="16" t="str">
        <f t="shared" si="38"/>
        <v>9786263207820</v>
      </c>
      <c r="M595" s="29" t="str">
        <f t="shared" si="39"/>
        <v>https://search.books.com.tw/search/query/key/9786263207820</v>
      </c>
      <c r="N595" s="12" t="s">
        <v>33</v>
      </c>
      <c r="O595" s="12"/>
      <c r="P595" s="12" t="s">
        <v>35</v>
      </c>
      <c r="Q595" s="17" t="s">
        <v>198</v>
      </c>
    </row>
    <row r="596" spans="1:17" ht="24.9" customHeight="1">
      <c r="A596" s="2"/>
      <c r="B596" s="11" t="s">
        <v>3045</v>
      </c>
      <c r="C596" s="9" t="s">
        <v>3046</v>
      </c>
      <c r="D596" s="12" t="s">
        <v>3047</v>
      </c>
      <c r="E596" s="13" t="s">
        <v>3048</v>
      </c>
      <c r="F596" s="13" t="s">
        <v>2640</v>
      </c>
      <c r="G596" s="14">
        <v>480</v>
      </c>
      <c r="H596" s="14">
        <f t="shared" si="36"/>
        <v>360</v>
      </c>
      <c r="I596" s="14"/>
      <c r="J596" s="15">
        <f t="shared" si="37"/>
        <v>0</v>
      </c>
      <c r="K596" s="12" t="s">
        <v>132</v>
      </c>
      <c r="L596" s="16" t="str">
        <f t="shared" si="38"/>
        <v>9786267254530</v>
      </c>
      <c r="M596" s="29" t="str">
        <f t="shared" si="39"/>
        <v>https://search.books.com.tw/search/query/key/9786267254530</v>
      </c>
      <c r="N596" s="12" t="s">
        <v>33</v>
      </c>
      <c r="O596" s="12"/>
      <c r="P596" s="12" t="s">
        <v>73</v>
      </c>
      <c r="Q596" s="17" t="s">
        <v>1755</v>
      </c>
    </row>
    <row r="597" spans="1:17" ht="24.9" customHeight="1">
      <c r="A597" s="2"/>
      <c r="B597" s="11" t="s">
        <v>3049</v>
      </c>
      <c r="C597" s="9" t="s">
        <v>3050</v>
      </c>
      <c r="D597" s="12" t="s">
        <v>1151</v>
      </c>
      <c r="E597" s="13" t="s">
        <v>3051</v>
      </c>
      <c r="F597" s="13" t="s">
        <v>2326</v>
      </c>
      <c r="G597" s="14">
        <v>420</v>
      </c>
      <c r="H597" s="14">
        <f t="shared" si="36"/>
        <v>315</v>
      </c>
      <c r="I597" s="14"/>
      <c r="J597" s="15">
        <f t="shared" si="37"/>
        <v>0</v>
      </c>
      <c r="K597" s="12" t="s">
        <v>832</v>
      </c>
      <c r="L597" s="16" t="str">
        <f t="shared" si="38"/>
        <v>9786263145832</v>
      </c>
      <c r="M597" s="29" t="str">
        <f t="shared" si="39"/>
        <v>https://search.books.com.tw/search/query/key/9786263145832</v>
      </c>
      <c r="N597" s="12" t="s">
        <v>33</v>
      </c>
      <c r="O597" s="12"/>
      <c r="P597" s="12" t="s">
        <v>45</v>
      </c>
      <c r="Q597" s="17" t="s">
        <v>3052</v>
      </c>
    </row>
    <row r="598" spans="1:17" ht="24.9" customHeight="1">
      <c r="A598" s="2"/>
      <c r="B598" s="11" t="s">
        <v>3053</v>
      </c>
      <c r="C598" s="9" t="s">
        <v>3054</v>
      </c>
      <c r="D598" s="12" t="s">
        <v>3055</v>
      </c>
      <c r="E598" s="13" t="s">
        <v>3056</v>
      </c>
      <c r="F598" s="13" t="s">
        <v>3057</v>
      </c>
      <c r="G598" s="14">
        <v>350</v>
      </c>
      <c r="H598" s="14">
        <f t="shared" si="36"/>
        <v>263</v>
      </c>
      <c r="I598" s="14"/>
      <c r="J598" s="15">
        <f t="shared" si="37"/>
        <v>0</v>
      </c>
      <c r="K598" s="12" t="s">
        <v>3058</v>
      </c>
      <c r="L598" s="16" t="str">
        <f t="shared" si="38"/>
        <v>9786263700901</v>
      </c>
      <c r="M598" s="29" t="str">
        <f t="shared" si="39"/>
        <v>https://search.books.com.tw/search/query/key/9786263700901</v>
      </c>
      <c r="N598" s="12" t="s">
        <v>522</v>
      </c>
      <c r="O598" s="12"/>
      <c r="P598" s="12" t="s">
        <v>45</v>
      </c>
      <c r="Q598" s="17" t="s">
        <v>523</v>
      </c>
    </row>
    <row r="599" spans="1:17" ht="24.9" customHeight="1">
      <c r="A599" s="2"/>
      <c r="B599" s="11" t="s">
        <v>3059</v>
      </c>
      <c r="C599" s="9" t="s">
        <v>3060</v>
      </c>
      <c r="D599" s="12" t="s">
        <v>3061</v>
      </c>
      <c r="E599" s="13" t="s">
        <v>3062</v>
      </c>
      <c r="F599" s="13" t="s">
        <v>3063</v>
      </c>
      <c r="G599" s="14">
        <v>480</v>
      </c>
      <c r="H599" s="14">
        <f t="shared" si="36"/>
        <v>360</v>
      </c>
      <c r="I599" s="14"/>
      <c r="J599" s="15">
        <f t="shared" si="37"/>
        <v>0</v>
      </c>
      <c r="K599" s="12" t="s">
        <v>80</v>
      </c>
      <c r="L599" s="16" t="str">
        <f t="shared" si="38"/>
        <v>9789862943731</v>
      </c>
      <c r="M599" s="29" t="str">
        <f t="shared" si="39"/>
        <v>https://search.books.com.tw/search/query/key/9789862943731</v>
      </c>
      <c r="N599" s="12" t="s">
        <v>33</v>
      </c>
      <c r="O599" s="12"/>
      <c r="P599" s="12" t="s">
        <v>35</v>
      </c>
      <c r="Q599" s="17" t="s">
        <v>706</v>
      </c>
    </row>
    <row r="600" spans="1:17" ht="24.9" customHeight="1">
      <c r="A600" s="2"/>
      <c r="B600" s="11" t="s">
        <v>3064</v>
      </c>
      <c r="C600" s="9" t="s">
        <v>3065</v>
      </c>
      <c r="D600" s="12" t="s">
        <v>3066</v>
      </c>
      <c r="E600" s="13" t="s">
        <v>3067</v>
      </c>
      <c r="F600" s="13" t="s">
        <v>3068</v>
      </c>
      <c r="G600" s="14">
        <v>680</v>
      </c>
      <c r="H600" s="14">
        <f t="shared" si="36"/>
        <v>510</v>
      </c>
      <c r="I600" s="14"/>
      <c r="J600" s="15">
        <f t="shared" si="37"/>
        <v>0</v>
      </c>
      <c r="K600" s="12" t="s">
        <v>32</v>
      </c>
      <c r="L600" s="16" t="str">
        <f t="shared" si="38"/>
        <v>9786264180863</v>
      </c>
      <c r="M600" s="29" t="str">
        <f t="shared" si="39"/>
        <v>https://search.books.com.tw/search/query/key/9786264180863</v>
      </c>
      <c r="N600" s="12" t="s">
        <v>33</v>
      </c>
      <c r="O600" s="12"/>
      <c r="P600" s="12" t="s">
        <v>384</v>
      </c>
      <c r="Q600" s="17" t="s">
        <v>2610</v>
      </c>
    </row>
    <row r="601" spans="1:17" ht="24.9" customHeight="1">
      <c r="A601" s="2"/>
      <c r="B601" s="11" t="s">
        <v>3069</v>
      </c>
      <c r="C601" s="9" t="s">
        <v>3070</v>
      </c>
      <c r="D601" s="12" t="s">
        <v>3071</v>
      </c>
      <c r="E601" s="13" t="s">
        <v>3072</v>
      </c>
      <c r="F601" s="13" t="s">
        <v>3073</v>
      </c>
      <c r="G601" s="14">
        <v>450</v>
      </c>
      <c r="H601" s="14">
        <f t="shared" si="36"/>
        <v>338</v>
      </c>
      <c r="I601" s="14"/>
      <c r="J601" s="15">
        <f t="shared" si="37"/>
        <v>0</v>
      </c>
      <c r="K601" s="12" t="s">
        <v>32</v>
      </c>
      <c r="L601" s="16" t="str">
        <f t="shared" si="38"/>
        <v>9789573289821</v>
      </c>
      <c r="M601" s="29" t="str">
        <f t="shared" si="39"/>
        <v>https://search.books.com.tw/search/query/key/9789573289821</v>
      </c>
      <c r="N601" s="12" t="s">
        <v>33</v>
      </c>
      <c r="O601" s="12"/>
      <c r="P601" s="12" t="s">
        <v>35</v>
      </c>
      <c r="Q601" s="17" t="s">
        <v>36</v>
      </c>
    </row>
    <row r="602" spans="1:17" ht="24.9" customHeight="1">
      <c r="A602" s="2"/>
      <c r="B602" s="11" t="s">
        <v>3074</v>
      </c>
      <c r="C602" s="9" t="s">
        <v>3075</v>
      </c>
      <c r="D602" s="12" t="s">
        <v>3076</v>
      </c>
      <c r="E602" s="13" t="s">
        <v>3077</v>
      </c>
      <c r="F602" s="13" t="s">
        <v>3078</v>
      </c>
      <c r="G602" s="14">
        <v>380</v>
      </c>
      <c r="H602" s="14">
        <f t="shared" si="36"/>
        <v>285</v>
      </c>
      <c r="I602" s="14"/>
      <c r="J602" s="15">
        <f t="shared" si="37"/>
        <v>0</v>
      </c>
      <c r="K602" s="12" t="s">
        <v>662</v>
      </c>
      <c r="L602" s="16" t="str">
        <f t="shared" si="38"/>
        <v>9789862747032</v>
      </c>
      <c r="M602" s="29" t="str">
        <f t="shared" si="39"/>
        <v>https://search.books.com.tw/search/query/key/9789862747032</v>
      </c>
      <c r="N602" s="12" t="s">
        <v>522</v>
      </c>
      <c r="O602" s="12"/>
      <c r="P602" s="12" t="s">
        <v>45</v>
      </c>
      <c r="Q602" s="17" t="s">
        <v>523</v>
      </c>
    </row>
    <row r="603" spans="1:17" ht="24.9" customHeight="1">
      <c r="A603" s="2"/>
      <c r="B603" s="11" t="s">
        <v>3079</v>
      </c>
      <c r="C603" s="9" t="s">
        <v>3080</v>
      </c>
      <c r="D603" s="12" t="s">
        <v>620</v>
      </c>
      <c r="E603" s="13" t="s">
        <v>3081</v>
      </c>
      <c r="F603" s="13" t="s">
        <v>2912</v>
      </c>
      <c r="G603" s="14">
        <v>380</v>
      </c>
      <c r="H603" s="14">
        <f t="shared" si="36"/>
        <v>285</v>
      </c>
      <c r="I603" s="14"/>
      <c r="J603" s="15">
        <f t="shared" si="37"/>
        <v>0</v>
      </c>
      <c r="K603" s="12" t="s">
        <v>22</v>
      </c>
      <c r="L603" s="16" t="str">
        <f t="shared" si="38"/>
        <v>9786267632666</v>
      </c>
      <c r="M603" s="29" t="str">
        <f t="shared" si="39"/>
        <v>https://search.books.com.tw/search/query/key/9786267632666</v>
      </c>
      <c r="N603" s="12" t="s">
        <v>343</v>
      </c>
      <c r="O603" s="12"/>
      <c r="P603" s="12" t="s">
        <v>45</v>
      </c>
      <c r="Q603" s="17" t="s">
        <v>523</v>
      </c>
    </row>
    <row r="604" spans="1:17" ht="24.9" customHeight="1">
      <c r="A604" s="2"/>
      <c r="B604" s="11" t="s">
        <v>3082</v>
      </c>
      <c r="C604" s="9" t="s">
        <v>3083</v>
      </c>
      <c r="D604" s="12" t="s">
        <v>3084</v>
      </c>
      <c r="E604" s="13" t="s">
        <v>3085</v>
      </c>
      <c r="F604" s="13" t="s">
        <v>3086</v>
      </c>
      <c r="G604" s="14">
        <v>550</v>
      </c>
      <c r="H604" s="14">
        <f t="shared" si="36"/>
        <v>413</v>
      </c>
      <c r="I604" s="14"/>
      <c r="J604" s="15">
        <f t="shared" si="37"/>
        <v>0</v>
      </c>
      <c r="K604" s="12" t="s">
        <v>567</v>
      </c>
      <c r="L604" s="16" t="str">
        <f t="shared" si="38"/>
        <v>9786263748347</v>
      </c>
      <c r="M604" s="29" t="str">
        <f t="shared" si="39"/>
        <v>https://search.books.com.tw/search/query/key/9786263748347</v>
      </c>
      <c r="N604" s="12" t="s">
        <v>33</v>
      </c>
      <c r="O604" s="12"/>
      <c r="P604" s="12" t="s">
        <v>384</v>
      </c>
      <c r="Q604" s="17" t="s">
        <v>2610</v>
      </c>
    </row>
    <row r="605" spans="1:17" ht="24.9" customHeight="1">
      <c r="A605" s="2"/>
      <c r="B605" s="11" t="s">
        <v>3087</v>
      </c>
      <c r="C605" s="9" t="s">
        <v>3088</v>
      </c>
      <c r="D605" s="12" t="s">
        <v>1026</v>
      </c>
      <c r="E605" s="13" t="s">
        <v>3089</v>
      </c>
      <c r="F605" s="13" t="s">
        <v>1028</v>
      </c>
      <c r="G605" s="14">
        <v>380</v>
      </c>
      <c r="H605" s="14">
        <f t="shared" si="36"/>
        <v>285</v>
      </c>
      <c r="I605" s="14"/>
      <c r="J605" s="15">
        <f t="shared" si="37"/>
        <v>0</v>
      </c>
      <c r="K605" s="12" t="s">
        <v>80</v>
      </c>
      <c r="L605" s="16" t="str">
        <f t="shared" si="38"/>
        <v>9789862943137</v>
      </c>
      <c r="M605" s="29" t="str">
        <f t="shared" si="39"/>
        <v>https://search.books.com.tw/search/query/key/9789862943137</v>
      </c>
      <c r="N605" s="12" t="s">
        <v>1029</v>
      </c>
      <c r="O605" s="12"/>
      <c r="P605" s="12" t="s">
        <v>45</v>
      </c>
      <c r="Q605" s="17" t="s">
        <v>523</v>
      </c>
    </row>
    <row r="606" spans="1:17" ht="24.9" customHeight="1">
      <c r="A606" s="2"/>
      <c r="B606" s="11" t="s">
        <v>3090</v>
      </c>
      <c r="C606" s="9" t="s">
        <v>3091</v>
      </c>
      <c r="D606" s="12" t="s">
        <v>3092</v>
      </c>
      <c r="E606" s="13" t="s">
        <v>3093</v>
      </c>
      <c r="F606" s="13" t="s">
        <v>3094</v>
      </c>
      <c r="G606" s="14">
        <v>420</v>
      </c>
      <c r="H606" s="14">
        <f t="shared" si="36"/>
        <v>315</v>
      </c>
      <c r="I606" s="14"/>
      <c r="J606" s="15">
        <f t="shared" si="37"/>
        <v>0</v>
      </c>
      <c r="K606" s="12" t="s">
        <v>2167</v>
      </c>
      <c r="L606" s="16" t="str">
        <f t="shared" si="38"/>
        <v>9789862944189</v>
      </c>
      <c r="M606" s="29" t="str">
        <f t="shared" si="39"/>
        <v>https://search.books.com.tw/search/query/key/9789862944189</v>
      </c>
      <c r="N606" s="12" t="s">
        <v>522</v>
      </c>
      <c r="O606" s="12"/>
      <c r="P606" s="12" t="s">
        <v>45</v>
      </c>
      <c r="Q606" s="17" t="s">
        <v>159</v>
      </c>
    </row>
    <row r="607" spans="1:17" ht="24.9" customHeight="1">
      <c r="A607" s="2"/>
      <c r="B607" s="11" t="s">
        <v>3095</v>
      </c>
      <c r="C607" s="9" t="s">
        <v>3096</v>
      </c>
      <c r="D607" s="12" t="s">
        <v>2030</v>
      </c>
      <c r="E607" s="13" t="s">
        <v>3097</v>
      </c>
      <c r="F607" s="13" t="s">
        <v>3098</v>
      </c>
      <c r="G607" s="14">
        <v>380</v>
      </c>
      <c r="H607" s="14">
        <f t="shared" si="36"/>
        <v>285</v>
      </c>
      <c r="I607" s="14"/>
      <c r="J607" s="15">
        <f t="shared" si="37"/>
        <v>0</v>
      </c>
      <c r="K607" s="12" t="s">
        <v>22</v>
      </c>
      <c r="L607" s="16" t="str">
        <f t="shared" si="38"/>
        <v>9786267350980</v>
      </c>
      <c r="M607" s="29" t="str">
        <f t="shared" si="39"/>
        <v>https://search.books.com.tw/search/query/key/9786267350980</v>
      </c>
      <c r="N607" s="12" t="s">
        <v>597</v>
      </c>
      <c r="O607" s="12"/>
      <c r="P607" s="12" t="s">
        <v>45</v>
      </c>
      <c r="Q607" s="17" t="s">
        <v>523</v>
      </c>
    </row>
    <row r="608" spans="1:17" ht="24.9" customHeight="1">
      <c r="A608" s="2"/>
      <c r="B608" s="11" t="s">
        <v>3099</v>
      </c>
      <c r="C608" s="9" t="s">
        <v>3100</v>
      </c>
      <c r="D608" s="12" t="s">
        <v>3101</v>
      </c>
      <c r="E608" s="13" t="s">
        <v>3102</v>
      </c>
      <c r="F608" s="13" t="s">
        <v>3103</v>
      </c>
      <c r="G608" s="14">
        <v>520</v>
      </c>
      <c r="H608" s="14">
        <f t="shared" si="36"/>
        <v>390</v>
      </c>
      <c r="I608" s="14"/>
      <c r="J608" s="15">
        <f t="shared" si="37"/>
        <v>0</v>
      </c>
      <c r="K608" s="12" t="s">
        <v>1069</v>
      </c>
      <c r="L608" s="16" t="str">
        <f t="shared" si="38"/>
        <v>9786267719558</v>
      </c>
      <c r="M608" s="29" t="str">
        <f t="shared" si="39"/>
        <v>https://search.books.com.tw/search/query/key/9786267719558</v>
      </c>
      <c r="N608" s="12" t="s">
        <v>33</v>
      </c>
      <c r="O608" s="12"/>
      <c r="P608" s="12" t="s">
        <v>384</v>
      </c>
      <c r="Q608" s="17" t="s">
        <v>1565</v>
      </c>
    </row>
    <row r="609" spans="1:17" ht="24.9" customHeight="1">
      <c r="A609" s="2"/>
      <c r="B609" s="11" t="s">
        <v>3104</v>
      </c>
      <c r="C609" s="9" t="s">
        <v>3105</v>
      </c>
      <c r="D609" s="12" t="s">
        <v>3106</v>
      </c>
      <c r="E609" s="13" t="s">
        <v>3107</v>
      </c>
      <c r="F609" s="13" t="s">
        <v>3108</v>
      </c>
      <c r="G609" s="14">
        <v>260</v>
      </c>
      <c r="H609" s="14">
        <f t="shared" si="36"/>
        <v>195</v>
      </c>
      <c r="I609" s="14"/>
      <c r="J609" s="15">
        <f t="shared" si="37"/>
        <v>0</v>
      </c>
      <c r="K609" s="12" t="s">
        <v>3109</v>
      </c>
      <c r="L609" s="16" t="str">
        <f t="shared" si="38"/>
        <v>9789579502344</v>
      </c>
      <c r="M609" s="29" t="str">
        <f t="shared" si="39"/>
        <v>https://search.books.com.tw/search/query/key/9789579502344</v>
      </c>
      <c r="N609" s="12" t="s">
        <v>33</v>
      </c>
      <c r="O609" s="12"/>
      <c r="P609" s="12" t="s">
        <v>35</v>
      </c>
      <c r="Q609" s="17" t="s">
        <v>36</v>
      </c>
    </row>
    <row r="610" spans="1:17" ht="24.9" customHeight="1">
      <c r="A610" s="2"/>
      <c r="B610" s="11" t="s">
        <v>3110</v>
      </c>
      <c r="C610" s="9" t="s">
        <v>3111</v>
      </c>
      <c r="D610" s="12" t="s">
        <v>3112</v>
      </c>
      <c r="E610" s="13" t="s">
        <v>3113</v>
      </c>
      <c r="F610" s="13" t="s">
        <v>3114</v>
      </c>
      <c r="G610" s="14">
        <v>360</v>
      </c>
      <c r="H610" s="14">
        <f t="shared" si="36"/>
        <v>270</v>
      </c>
      <c r="I610" s="14"/>
      <c r="J610" s="15">
        <f t="shared" si="37"/>
        <v>0</v>
      </c>
      <c r="K610" s="12" t="s">
        <v>267</v>
      </c>
      <c r="L610" s="16" t="str">
        <f t="shared" si="38"/>
        <v>9786263298071</v>
      </c>
      <c r="M610" s="29" t="str">
        <f t="shared" si="39"/>
        <v>https://search.books.com.tw/search/query/key/9786263298071</v>
      </c>
      <c r="N610" s="12" t="s">
        <v>33</v>
      </c>
      <c r="O610" s="12"/>
      <c r="P610" s="12" t="s">
        <v>393</v>
      </c>
      <c r="Q610" s="17" t="s">
        <v>3115</v>
      </c>
    </row>
    <row r="611" spans="1:17" ht="24.9" customHeight="1">
      <c r="A611" s="2"/>
      <c r="B611" s="11" t="s">
        <v>3116</v>
      </c>
      <c r="C611" s="9" t="s">
        <v>3117</v>
      </c>
      <c r="D611" s="12" t="s">
        <v>2734</v>
      </c>
      <c r="E611" s="13" t="s">
        <v>3118</v>
      </c>
      <c r="F611" s="13" t="s">
        <v>3119</v>
      </c>
      <c r="G611" s="14">
        <v>480</v>
      </c>
      <c r="H611" s="14">
        <f t="shared" si="36"/>
        <v>360</v>
      </c>
      <c r="I611" s="14"/>
      <c r="J611" s="15">
        <f t="shared" si="37"/>
        <v>0</v>
      </c>
      <c r="K611" s="12" t="s">
        <v>157</v>
      </c>
      <c r="L611" s="16" t="str">
        <f t="shared" si="38"/>
        <v>9786264238427</v>
      </c>
      <c r="M611" s="29" t="str">
        <f t="shared" si="39"/>
        <v>https://search.books.com.tw/search/query/key/9786264238427</v>
      </c>
      <c r="N611" s="12" t="s">
        <v>33</v>
      </c>
      <c r="O611" s="12"/>
      <c r="P611" s="12" t="s">
        <v>45</v>
      </c>
      <c r="Q611" s="17" t="s">
        <v>283</v>
      </c>
    </row>
    <row r="612" spans="1:17" ht="24.9" customHeight="1">
      <c r="A612" s="2"/>
      <c r="B612" s="11" t="s">
        <v>3120</v>
      </c>
      <c r="C612" s="9" t="s">
        <v>3121</v>
      </c>
      <c r="D612" s="12" t="s">
        <v>2734</v>
      </c>
      <c r="E612" s="13" t="s">
        <v>3122</v>
      </c>
      <c r="F612" s="13" t="s">
        <v>3123</v>
      </c>
      <c r="G612" s="14">
        <v>480</v>
      </c>
      <c r="H612" s="14">
        <f t="shared" si="36"/>
        <v>360</v>
      </c>
      <c r="I612" s="14"/>
      <c r="J612" s="15">
        <f t="shared" si="37"/>
        <v>0</v>
      </c>
      <c r="K612" s="12" t="s">
        <v>157</v>
      </c>
      <c r="L612" s="16" t="str">
        <f t="shared" si="38"/>
        <v>9786264422611</v>
      </c>
      <c r="M612" s="29" t="str">
        <f t="shared" si="39"/>
        <v>https://search.books.com.tw/search/query/key/9786264422611</v>
      </c>
      <c r="N612" s="12" t="s">
        <v>33</v>
      </c>
      <c r="O612" s="12"/>
      <c r="P612" s="12" t="s">
        <v>45</v>
      </c>
      <c r="Q612" s="17" t="s">
        <v>283</v>
      </c>
    </row>
    <row r="613" spans="1:17" ht="24.9" customHeight="1">
      <c r="A613" s="2"/>
      <c r="B613" s="11" t="s">
        <v>3124</v>
      </c>
      <c r="C613" s="9" t="s">
        <v>3125</v>
      </c>
      <c r="D613" s="12" t="s">
        <v>3126</v>
      </c>
      <c r="E613" s="13" t="s">
        <v>3127</v>
      </c>
      <c r="F613" s="13" t="s">
        <v>1631</v>
      </c>
      <c r="G613" s="14">
        <v>360</v>
      </c>
      <c r="H613" s="14">
        <f t="shared" si="36"/>
        <v>270</v>
      </c>
      <c r="I613" s="14"/>
      <c r="J613" s="15">
        <f t="shared" si="37"/>
        <v>0</v>
      </c>
      <c r="K613" s="12" t="s">
        <v>567</v>
      </c>
      <c r="L613" s="16" t="str">
        <f t="shared" si="38"/>
        <v>9786263969520</v>
      </c>
      <c r="M613" s="29" t="str">
        <f t="shared" si="39"/>
        <v>https://search.books.com.tw/search/query/key/9786263969520</v>
      </c>
      <c r="N613" s="12" t="s">
        <v>23</v>
      </c>
      <c r="O613" s="12"/>
      <c r="P613" s="12" t="s">
        <v>35</v>
      </c>
      <c r="Q613" s="17" t="s">
        <v>3128</v>
      </c>
    </row>
    <row r="614" spans="1:17" ht="24.9" customHeight="1">
      <c r="A614" s="2"/>
      <c r="B614" s="11" t="s">
        <v>3129</v>
      </c>
      <c r="C614" s="9" t="s">
        <v>3130</v>
      </c>
      <c r="D614" s="12" t="s">
        <v>3131</v>
      </c>
      <c r="E614" s="13" t="s">
        <v>3132</v>
      </c>
      <c r="F614" s="13" t="s">
        <v>3133</v>
      </c>
      <c r="G614" s="14">
        <v>300</v>
      </c>
      <c r="H614" s="14">
        <f t="shared" si="36"/>
        <v>225</v>
      </c>
      <c r="I614" s="14"/>
      <c r="J614" s="15">
        <f t="shared" si="37"/>
        <v>0</v>
      </c>
      <c r="K614" s="12" t="s">
        <v>3134</v>
      </c>
      <c r="L614" s="16" t="str">
        <f t="shared" si="38"/>
        <v>9786263651401</v>
      </c>
      <c r="M614" s="29" t="str">
        <f t="shared" si="39"/>
        <v>https://search.books.com.tw/search/query/key/9786263651401</v>
      </c>
      <c r="N614" s="12" t="s">
        <v>522</v>
      </c>
      <c r="O614" s="12"/>
      <c r="P614" s="12" t="s">
        <v>45</v>
      </c>
      <c r="Q614" s="17" t="s">
        <v>523</v>
      </c>
    </row>
    <row r="615" spans="1:17" ht="24.9" customHeight="1">
      <c r="A615" s="2"/>
      <c r="B615" s="11" t="s">
        <v>3135</v>
      </c>
      <c r="C615" s="9" t="s">
        <v>3136</v>
      </c>
      <c r="D615" s="12" t="s">
        <v>3137</v>
      </c>
      <c r="E615" s="13" t="s">
        <v>3138</v>
      </c>
      <c r="F615" s="13" t="s">
        <v>3139</v>
      </c>
      <c r="G615" s="14">
        <v>550</v>
      </c>
      <c r="H615" s="14">
        <f t="shared" si="36"/>
        <v>413</v>
      </c>
      <c r="I615" s="14"/>
      <c r="J615" s="15">
        <f t="shared" si="37"/>
        <v>0</v>
      </c>
      <c r="K615" s="12" t="s">
        <v>132</v>
      </c>
      <c r="L615" s="16" t="str">
        <f t="shared" si="38"/>
        <v>9789860674835</v>
      </c>
      <c r="M615" s="29" t="str">
        <f t="shared" si="39"/>
        <v>https://search.books.com.tw/search/query/key/9789860674835</v>
      </c>
      <c r="N615" s="12" t="s">
        <v>1047</v>
      </c>
      <c r="O615" s="12"/>
      <c r="P615" s="12" t="s">
        <v>45</v>
      </c>
      <c r="Q615" s="17" t="s">
        <v>2331</v>
      </c>
    </row>
    <row r="616" spans="1:17" ht="24.9" customHeight="1">
      <c r="A616" s="2"/>
      <c r="B616" s="11" t="s">
        <v>3140</v>
      </c>
      <c r="C616" s="9" t="s">
        <v>3141</v>
      </c>
      <c r="D616" s="12" t="s">
        <v>3142</v>
      </c>
      <c r="E616" s="13" t="s">
        <v>3143</v>
      </c>
      <c r="F616" s="13" t="s">
        <v>3144</v>
      </c>
      <c r="G616" s="14">
        <v>550</v>
      </c>
      <c r="H616" s="14">
        <f t="shared" si="36"/>
        <v>413</v>
      </c>
      <c r="I616" s="14"/>
      <c r="J616" s="15">
        <f t="shared" si="37"/>
        <v>0</v>
      </c>
      <c r="K616" s="12" t="s">
        <v>132</v>
      </c>
      <c r="L616" s="16" t="str">
        <f t="shared" si="38"/>
        <v>9789860674866</v>
      </c>
      <c r="M616" s="29" t="str">
        <f t="shared" si="39"/>
        <v>https://search.books.com.tw/search/query/key/9789860674866</v>
      </c>
      <c r="N616" s="12" t="s">
        <v>1047</v>
      </c>
      <c r="O616" s="12"/>
      <c r="P616" s="12" t="s">
        <v>45</v>
      </c>
      <c r="Q616" s="17" t="s">
        <v>2331</v>
      </c>
    </row>
    <row r="617" spans="1:17" ht="24.9" customHeight="1">
      <c r="A617" s="2"/>
      <c r="B617" s="11" t="s">
        <v>3145</v>
      </c>
      <c r="C617" s="9" t="s">
        <v>3146</v>
      </c>
      <c r="D617" s="12" t="s">
        <v>3147</v>
      </c>
      <c r="E617" s="13" t="s">
        <v>3148</v>
      </c>
      <c r="F617" s="13" t="s">
        <v>3144</v>
      </c>
      <c r="G617" s="14">
        <v>580</v>
      </c>
      <c r="H617" s="14">
        <f t="shared" si="36"/>
        <v>435</v>
      </c>
      <c r="I617" s="14"/>
      <c r="J617" s="15">
        <f t="shared" si="37"/>
        <v>0</v>
      </c>
      <c r="K617" s="12" t="s">
        <v>132</v>
      </c>
      <c r="L617" s="16" t="str">
        <f t="shared" si="38"/>
        <v>9789860674873</v>
      </c>
      <c r="M617" s="29" t="str">
        <f t="shared" si="39"/>
        <v>https://search.books.com.tw/search/query/key/9789860674873</v>
      </c>
      <c r="N617" s="12" t="s">
        <v>1047</v>
      </c>
      <c r="O617" s="12"/>
      <c r="P617" s="12" t="s">
        <v>45</v>
      </c>
      <c r="Q617" s="17" t="s">
        <v>2331</v>
      </c>
    </row>
    <row r="618" spans="1:17" ht="24.9" customHeight="1">
      <c r="A618" s="2"/>
      <c r="B618" s="11" t="s">
        <v>3149</v>
      </c>
      <c r="C618" s="9" t="s">
        <v>3150</v>
      </c>
      <c r="D618" s="12" t="s">
        <v>3151</v>
      </c>
      <c r="E618" s="13" t="s">
        <v>3152</v>
      </c>
      <c r="F618" s="13" t="s">
        <v>3153</v>
      </c>
      <c r="G618" s="14">
        <v>390</v>
      </c>
      <c r="H618" s="14">
        <f t="shared" si="36"/>
        <v>293</v>
      </c>
      <c r="I618" s="14"/>
      <c r="J618" s="15">
        <f t="shared" si="37"/>
        <v>0</v>
      </c>
      <c r="K618" s="12" t="s">
        <v>80</v>
      </c>
      <c r="L618" s="16" t="str">
        <f t="shared" si="38"/>
        <v>9789862944271</v>
      </c>
      <c r="M618" s="29" t="str">
        <f t="shared" si="39"/>
        <v>https://search.books.com.tw/search/query/key/9789862944271</v>
      </c>
      <c r="N618" s="12" t="s">
        <v>597</v>
      </c>
      <c r="O618" s="12"/>
      <c r="P618" s="12" t="s">
        <v>35</v>
      </c>
      <c r="Q618" s="17" t="s">
        <v>210</v>
      </c>
    </row>
    <row r="619" spans="1:17" ht="24.9" customHeight="1">
      <c r="A619" s="2"/>
      <c r="B619" s="11" t="s">
        <v>3154</v>
      </c>
      <c r="C619" s="9" t="s">
        <v>3155</v>
      </c>
      <c r="D619" s="12" t="s">
        <v>3156</v>
      </c>
      <c r="E619" s="13" t="s">
        <v>3157</v>
      </c>
      <c r="F619" s="13" t="s">
        <v>3158</v>
      </c>
      <c r="G619" s="14">
        <v>960</v>
      </c>
      <c r="H619" s="14">
        <f t="shared" si="36"/>
        <v>720</v>
      </c>
      <c r="I619" s="14"/>
      <c r="J619" s="15">
        <f t="shared" si="37"/>
        <v>0</v>
      </c>
      <c r="K619" s="12" t="s">
        <v>183</v>
      </c>
      <c r="L619" s="16" t="str">
        <f t="shared" si="38"/>
        <v>9786267502617</v>
      </c>
      <c r="M619" s="29" t="str">
        <f t="shared" si="39"/>
        <v>https://search.books.com.tw/search/query/key/9786267502617</v>
      </c>
      <c r="N619" s="12" t="s">
        <v>522</v>
      </c>
      <c r="O619" s="12"/>
      <c r="P619" s="12" t="s">
        <v>45</v>
      </c>
      <c r="Q619" s="17" t="s">
        <v>713</v>
      </c>
    </row>
    <row r="620" spans="1:17" ht="24.9" customHeight="1">
      <c r="A620" s="2"/>
      <c r="B620" s="11" t="s">
        <v>3159</v>
      </c>
      <c r="C620" s="9" t="s">
        <v>3160</v>
      </c>
      <c r="D620" s="12" t="s">
        <v>3161</v>
      </c>
      <c r="E620" s="13" t="s">
        <v>3162</v>
      </c>
      <c r="F620" s="13" t="s">
        <v>3163</v>
      </c>
      <c r="G620" s="14">
        <v>400</v>
      </c>
      <c r="H620" s="14">
        <f t="shared" si="36"/>
        <v>300</v>
      </c>
      <c r="I620" s="14"/>
      <c r="J620" s="15">
        <f t="shared" si="37"/>
        <v>0</v>
      </c>
      <c r="K620" s="12" t="s">
        <v>3164</v>
      </c>
      <c r="L620" s="16" t="str">
        <f t="shared" si="38"/>
        <v>9786267478141</v>
      </c>
      <c r="M620" s="29" t="str">
        <f t="shared" si="39"/>
        <v>https://search.books.com.tw/search/query/key/9786267478141</v>
      </c>
      <c r="N620" s="12" t="s">
        <v>33</v>
      </c>
      <c r="O620" s="12"/>
      <c r="P620" s="12" t="s">
        <v>25</v>
      </c>
      <c r="Q620" s="17" t="s">
        <v>26</v>
      </c>
    </row>
    <row r="621" spans="1:17" ht="24.9" customHeight="1">
      <c r="A621" s="2"/>
      <c r="B621" s="11" t="s">
        <v>3165</v>
      </c>
      <c r="C621" s="9" t="s">
        <v>3166</v>
      </c>
      <c r="D621" s="12" t="s">
        <v>3167</v>
      </c>
      <c r="E621" s="13" t="s">
        <v>3168</v>
      </c>
      <c r="F621" s="13" t="s">
        <v>3169</v>
      </c>
      <c r="G621" s="14">
        <v>570</v>
      </c>
      <c r="H621" s="14">
        <f t="shared" si="36"/>
        <v>428</v>
      </c>
      <c r="I621" s="14"/>
      <c r="J621" s="15">
        <f t="shared" si="37"/>
        <v>0</v>
      </c>
      <c r="K621" s="12" t="s">
        <v>32</v>
      </c>
      <c r="L621" s="16" t="str">
        <f t="shared" si="38"/>
        <v>4719025013327</v>
      </c>
      <c r="M621" s="29" t="str">
        <f t="shared" si="39"/>
        <v>https://search.books.com.tw/search/query/key/4719025013327</v>
      </c>
      <c r="N621" s="12" t="s">
        <v>33</v>
      </c>
      <c r="O621" s="12"/>
      <c r="P621" s="12" t="s">
        <v>45</v>
      </c>
      <c r="Q621" s="17" t="s">
        <v>1154</v>
      </c>
    </row>
    <row r="622" spans="1:17" ht="24.9" customHeight="1">
      <c r="A622" s="2"/>
      <c r="B622" s="11" t="s">
        <v>3170</v>
      </c>
      <c r="C622" s="9" t="s">
        <v>3171</v>
      </c>
      <c r="D622" s="12" t="s">
        <v>3172</v>
      </c>
      <c r="E622" s="13" t="s">
        <v>3173</v>
      </c>
      <c r="F622" s="13" t="s">
        <v>3174</v>
      </c>
      <c r="G622" s="14">
        <v>380</v>
      </c>
      <c r="H622" s="14">
        <f t="shared" si="36"/>
        <v>285</v>
      </c>
      <c r="I622" s="14"/>
      <c r="J622" s="15">
        <f t="shared" si="37"/>
        <v>0</v>
      </c>
      <c r="K622" s="12" t="s">
        <v>80</v>
      </c>
      <c r="L622" s="16" t="str">
        <f t="shared" si="38"/>
        <v>9789862944325</v>
      </c>
      <c r="M622" s="29" t="str">
        <f t="shared" si="39"/>
        <v>https://search.books.com.tw/search/query/key/9789862944325</v>
      </c>
      <c r="N622" s="12" t="s">
        <v>33</v>
      </c>
      <c r="O622" s="12"/>
      <c r="P622" s="12" t="s">
        <v>25</v>
      </c>
      <c r="Q622" s="17" t="s">
        <v>3175</v>
      </c>
    </row>
    <row r="623" spans="1:17" ht="24.9" customHeight="1">
      <c r="A623" s="2"/>
      <c r="B623" s="11" t="s">
        <v>3176</v>
      </c>
      <c r="C623" s="9" t="s">
        <v>3177</v>
      </c>
      <c r="D623" s="12" t="s">
        <v>2673</v>
      </c>
      <c r="E623" s="13" t="s">
        <v>3178</v>
      </c>
      <c r="F623" s="13" t="s">
        <v>3179</v>
      </c>
      <c r="G623" s="14">
        <v>450</v>
      </c>
      <c r="H623" s="14">
        <f t="shared" si="36"/>
        <v>338</v>
      </c>
      <c r="I623" s="14"/>
      <c r="J623" s="15">
        <f t="shared" si="37"/>
        <v>0</v>
      </c>
      <c r="K623" s="12" t="s">
        <v>32</v>
      </c>
      <c r="L623" s="16" t="str">
        <f t="shared" si="38"/>
        <v>9786264182959</v>
      </c>
      <c r="M623" s="29" t="str">
        <f t="shared" si="39"/>
        <v>https://search.books.com.tw/search/query/key/9786264182959</v>
      </c>
      <c r="N623" s="12" t="s">
        <v>33</v>
      </c>
      <c r="O623" s="12"/>
      <c r="P623" s="12" t="s">
        <v>25</v>
      </c>
      <c r="Q623" s="17" t="s">
        <v>684</v>
      </c>
    </row>
    <row r="624" spans="1:17" ht="24.9" customHeight="1">
      <c r="A624" s="2"/>
      <c r="B624" s="11" t="s">
        <v>3180</v>
      </c>
      <c r="C624" s="9" t="s">
        <v>3181</v>
      </c>
      <c r="D624" s="12" t="s">
        <v>2673</v>
      </c>
      <c r="E624" s="13" t="s">
        <v>3182</v>
      </c>
      <c r="F624" s="13" t="s">
        <v>3179</v>
      </c>
      <c r="G624" s="14">
        <v>450</v>
      </c>
      <c r="H624" s="14">
        <f t="shared" si="36"/>
        <v>338</v>
      </c>
      <c r="I624" s="14"/>
      <c r="J624" s="15">
        <f t="shared" si="37"/>
        <v>0</v>
      </c>
      <c r="K624" s="12" t="s">
        <v>32</v>
      </c>
      <c r="L624" s="16" t="str">
        <f t="shared" si="38"/>
        <v>9786264182966</v>
      </c>
      <c r="M624" s="29" t="str">
        <f t="shared" si="39"/>
        <v>https://search.books.com.tw/search/query/key/9786264182966</v>
      </c>
      <c r="N624" s="12" t="s">
        <v>33</v>
      </c>
      <c r="O624" s="12"/>
      <c r="P624" s="12" t="s">
        <v>25</v>
      </c>
      <c r="Q624" s="17" t="s">
        <v>684</v>
      </c>
    </row>
    <row r="625" spans="1:17" ht="24.9" customHeight="1">
      <c r="A625" s="2"/>
      <c r="B625" s="11" t="s">
        <v>3183</v>
      </c>
      <c r="C625" s="9" t="s">
        <v>3184</v>
      </c>
      <c r="D625" s="12" t="s">
        <v>2673</v>
      </c>
      <c r="E625" s="13" t="s">
        <v>3185</v>
      </c>
      <c r="F625" s="13" t="s">
        <v>3179</v>
      </c>
      <c r="G625" s="14">
        <v>900</v>
      </c>
      <c r="H625" s="14">
        <f t="shared" si="36"/>
        <v>675</v>
      </c>
      <c r="I625" s="14"/>
      <c r="J625" s="15">
        <f t="shared" si="37"/>
        <v>0</v>
      </c>
      <c r="K625" s="12" t="s">
        <v>32</v>
      </c>
      <c r="L625" s="16" t="str">
        <f t="shared" si="38"/>
        <v>4719025012917</v>
      </c>
      <c r="M625" s="29" t="str">
        <f t="shared" si="39"/>
        <v>https://search.books.com.tw/search/query/key/4719025012917</v>
      </c>
      <c r="N625" s="12" t="s">
        <v>33</v>
      </c>
      <c r="O625" s="12"/>
      <c r="P625" s="12" t="s">
        <v>25</v>
      </c>
      <c r="Q625" s="17" t="s">
        <v>684</v>
      </c>
    </row>
    <row r="626" spans="1:17" ht="24.9" customHeight="1">
      <c r="A626" s="2"/>
      <c r="B626" s="11" t="s">
        <v>3186</v>
      </c>
      <c r="C626" s="9" t="s">
        <v>3187</v>
      </c>
      <c r="D626" s="12" t="s">
        <v>3188</v>
      </c>
      <c r="E626" s="13" t="s">
        <v>3189</v>
      </c>
      <c r="F626" s="13" t="s">
        <v>3190</v>
      </c>
      <c r="G626" s="14">
        <v>599</v>
      </c>
      <c r="H626" s="14">
        <f t="shared" si="36"/>
        <v>449</v>
      </c>
      <c r="I626" s="14"/>
      <c r="J626" s="15">
        <f t="shared" si="37"/>
        <v>0</v>
      </c>
      <c r="K626" s="12" t="s">
        <v>22</v>
      </c>
      <c r="L626" s="16" t="str">
        <f t="shared" si="38"/>
        <v>9789862117620</v>
      </c>
      <c r="M626" s="29" t="str">
        <f t="shared" si="39"/>
        <v>https://search.books.com.tw/search/query/key/9789862117620</v>
      </c>
      <c r="N626" s="12" t="s">
        <v>43</v>
      </c>
      <c r="O626" s="12"/>
      <c r="P626" s="12" t="s">
        <v>384</v>
      </c>
      <c r="Q626" s="17" t="s">
        <v>3191</v>
      </c>
    </row>
    <row r="627" spans="1:17" ht="24.9" customHeight="1">
      <c r="A627" s="2"/>
      <c r="B627" s="11" t="s">
        <v>3192</v>
      </c>
      <c r="C627" s="9" t="s">
        <v>3193</v>
      </c>
      <c r="D627" s="12" t="s">
        <v>916</v>
      </c>
      <c r="E627" s="13" t="s">
        <v>3194</v>
      </c>
      <c r="F627" s="13" t="s">
        <v>1924</v>
      </c>
      <c r="G627" s="14">
        <v>390</v>
      </c>
      <c r="H627" s="14">
        <f t="shared" si="36"/>
        <v>293</v>
      </c>
      <c r="I627" s="14"/>
      <c r="J627" s="15">
        <f t="shared" si="37"/>
        <v>0</v>
      </c>
      <c r="K627" s="12" t="s">
        <v>22</v>
      </c>
      <c r="L627" s="16" t="str">
        <f t="shared" si="38"/>
        <v>9786267467565</v>
      </c>
      <c r="M627" s="29" t="str">
        <f t="shared" si="39"/>
        <v>https://search.books.com.tw/search/query/key/9786267467565</v>
      </c>
      <c r="N627" s="12" t="s">
        <v>597</v>
      </c>
      <c r="O627" s="12"/>
      <c r="P627" s="12" t="s">
        <v>45</v>
      </c>
      <c r="Q627" s="17" t="s">
        <v>523</v>
      </c>
    </row>
    <row r="628" spans="1:17" ht="24.9" customHeight="1">
      <c r="A628" s="2"/>
      <c r="B628" s="11" t="s">
        <v>3195</v>
      </c>
      <c r="C628" s="9" t="s">
        <v>3196</v>
      </c>
      <c r="D628" s="12" t="s">
        <v>3197</v>
      </c>
      <c r="E628" s="13" t="s">
        <v>3198</v>
      </c>
      <c r="F628" s="13" t="s">
        <v>3199</v>
      </c>
      <c r="G628" s="14">
        <v>400</v>
      </c>
      <c r="H628" s="14">
        <f t="shared" si="36"/>
        <v>300</v>
      </c>
      <c r="I628" s="14"/>
      <c r="J628" s="15">
        <f t="shared" si="37"/>
        <v>0</v>
      </c>
      <c r="K628" s="12" t="s">
        <v>1777</v>
      </c>
      <c r="L628" s="16" t="str">
        <f t="shared" si="38"/>
        <v>9786267498064</v>
      </c>
      <c r="M628" s="29" t="str">
        <f t="shared" si="39"/>
        <v>https://search.books.com.tw/search/query/key/9786267498064</v>
      </c>
      <c r="N628" s="12" t="s">
        <v>33</v>
      </c>
      <c r="O628" s="12"/>
      <c r="P628" s="12" t="s">
        <v>25</v>
      </c>
      <c r="Q628" s="17" t="s">
        <v>139</v>
      </c>
    </row>
    <row r="629" spans="1:17" ht="24.9" customHeight="1">
      <c r="A629" s="2"/>
      <c r="B629" s="11" t="s">
        <v>438</v>
      </c>
      <c r="C629" s="9" t="s">
        <v>3200</v>
      </c>
      <c r="D629" s="12" t="s">
        <v>3201</v>
      </c>
      <c r="E629" s="13" t="s">
        <v>3202</v>
      </c>
      <c r="F629" s="13" t="s">
        <v>3119</v>
      </c>
      <c r="G629" s="14">
        <v>620</v>
      </c>
      <c r="H629" s="14">
        <f t="shared" si="36"/>
        <v>465</v>
      </c>
      <c r="I629" s="14"/>
      <c r="J629" s="15">
        <f t="shared" si="37"/>
        <v>0</v>
      </c>
      <c r="K629" s="12" t="s">
        <v>157</v>
      </c>
      <c r="L629" s="16" t="str">
        <f t="shared" si="38"/>
        <v>9786264238175</v>
      </c>
      <c r="M629" s="29" t="str">
        <f t="shared" si="39"/>
        <v>https://search.books.com.tw/search/query/key/9786264238175</v>
      </c>
      <c r="N629" s="12" t="s">
        <v>33</v>
      </c>
      <c r="O629" s="12"/>
      <c r="P629" s="12" t="s">
        <v>45</v>
      </c>
      <c r="Q629" s="17" t="s">
        <v>283</v>
      </c>
    </row>
    <row r="630" spans="1:17" ht="24.9" customHeight="1">
      <c r="A630" s="2"/>
      <c r="B630" s="11" t="s">
        <v>3203</v>
      </c>
      <c r="C630" s="9" t="s">
        <v>3204</v>
      </c>
      <c r="D630" s="12" t="s">
        <v>3201</v>
      </c>
      <c r="E630" s="13" t="s">
        <v>3205</v>
      </c>
      <c r="F630" s="13" t="s">
        <v>156</v>
      </c>
      <c r="G630" s="14">
        <v>600</v>
      </c>
      <c r="H630" s="14">
        <f t="shared" si="36"/>
        <v>450</v>
      </c>
      <c r="I630" s="14"/>
      <c r="J630" s="15">
        <f t="shared" si="37"/>
        <v>0</v>
      </c>
      <c r="K630" s="12" t="s">
        <v>157</v>
      </c>
      <c r="L630" s="16" t="str">
        <f t="shared" si="38"/>
        <v>9786263438415</v>
      </c>
      <c r="M630" s="29" t="str">
        <f t="shared" si="39"/>
        <v>https://search.books.com.tw/search/query/key/9786263438415</v>
      </c>
      <c r="N630" s="12" t="s">
        <v>33</v>
      </c>
      <c r="O630" s="12"/>
      <c r="P630" s="12" t="s">
        <v>45</v>
      </c>
      <c r="Q630" s="17" t="s">
        <v>283</v>
      </c>
    </row>
    <row r="631" spans="1:17" ht="24.9" customHeight="1">
      <c r="A631" s="2"/>
      <c r="B631" s="11" t="s">
        <v>3206</v>
      </c>
      <c r="C631" s="9" t="s">
        <v>3207</v>
      </c>
      <c r="D631" s="12" t="s">
        <v>3201</v>
      </c>
      <c r="E631" s="13" t="s">
        <v>3208</v>
      </c>
      <c r="F631" s="13" t="s">
        <v>3209</v>
      </c>
      <c r="G631" s="14">
        <v>380</v>
      </c>
      <c r="H631" s="14">
        <f t="shared" si="36"/>
        <v>285</v>
      </c>
      <c r="I631" s="14"/>
      <c r="J631" s="15">
        <f t="shared" si="37"/>
        <v>0</v>
      </c>
      <c r="K631" s="12" t="s">
        <v>157</v>
      </c>
      <c r="L631" s="16" t="str">
        <f t="shared" si="38"/>
        <v>9786263432451</v>
      </c>
      <c r="M631" s="29" t="str">
        <f t="shared" si="39"/>
        <v>https://search.books.com.tw/search/query/key/9786263432451</v>
      </c>
      <c r="N631" s="12" t="s">
        <v>43</v>
      </c>
      <c r="O631" s="12"/>
      <c r="P631" s="12" t="s">
        <v>45</v>
      </c>
      <c r="Q631" s="17" t="s">
        <v>283</v>
      </c>
    </row>
    <row r="632" spans="1:17" ht="24.9" customHeight="1">
      <c r="A632" s="2"/>
      <c r="B632" s="11" t="s">
        <v>3210</v>
      </c>
      <c r="C632" s="9" t="s">
        <v>3211</v>
      </c>
      <c r="D632" s="12" t="s">
        <v>3212</v>
      </c>
      <c r="E632" s="13" t="s">
        <v>3213</v>
      </c>
      <c r="F632" s="13" t="s">
        <v>3098</v>
      </c>
      <c r="G632" s="14">
        <v>350</v>
      </c>
      <c r="H632" s="14">
        <f t="shared" si="36"/>
        <v>263</v>
      </c>
      <c r="I632" s="14"/>
      <c r="J632" s="15">
        <f t="shared" si="37"/>
        <v>0</v>
      </c>
      <c r="K632" s="12" t="s">
        <v>165</v>
      </c>
      <c r="L632" s="16" t="str">
        <f t="shared" si="38"/>
        <v>9789861617305</v>
      </c>
      <c r="M632" s="29" t="str">
        <f t="shared" si="39"/>
        <v>https://search.books.com.tw/search/query/key/9789861617305</v>
      </c>
      <c r="N632" s="12" t="s">
        <v>522</v>
      </c>
      <c r="O632" s="12"/>
      <c r="P632" s="12" t="s">
        <v>45</v>
      </c>
      <c r="Q632" s="17" t="s">
        <v>523</v>
      </c>
    </row>
    <row r="633" spans="1:17" ht="24.9" customHeight="1">
      <c r="A633" s="2"/>
      <c r="B633" s="11" t="s">
        <v>3214</v>
      </c>
      <c r="C633" s="9" t="s">
        <v>3215</v>
      </c>
      <c r="D633" s="12" t="s">
        <v>3212</v>
      </c>
      <c r="E633" s="13" t="s">
        <v>3216</v>
      </c>
      <c r="F633" s="13" t="s">
        <v>2362</v>
      </c>
      <c r="G633" s="14">
        <v>350</v>
      </c>
      <c r="H633" s="14">
        <f t="shared" si="36"/>
        <v>263</v>
      </c>
      <c r="I633" s="14"/>
      <c r="J633" s="15">
        <f t="shared" si="37"/>
        <v>0</v>
      </c>
      <c r="K633" s="12" t="s">
        <v>165</v>
      </c>
      <c r="L633" s="16" t="str">
        <f t="shared" si="38"/>
        <v>9789861617336</v>
      </c>
      <c r="M633" s="29" t="str">
        <f t="shared" si="39"/>
        <v>https://search.books.com.tw/search/query/key/9789861617336</v>
      </c>
      <c r="N633" s="12" t="s">
        <v>343</v>
      </c>
      <c r="O633" s="12"/>
      <c r="P633" s="12" t="s">
        <v>45</v>
      </c>
      <c r="Q633" s="17" t="s">
        <v>3217</v>
      </c>
    </row>
    <row r="634" spans="1:17" ht="24.9" customHeight="1">
      <c r="A634" s="2"/>
      <c r="B634" s="11" t="s">
        <v>3218</v>
      </c>
      <c r="C634" s="9" t="s">
        <v>3219</v>
      </c>
      <c r="D634" s="12" t="s">
        <v>2259</v>
      </c>
      <c r="E634" s="13" t="s">
        <v>3220</v>
      </c>
      <c r="F634" s="13" t="s">
        <v>3221</v>
      </c>
      <c r="G634" s="14">
        <v>350</v>
      </c>
      <c r="H634" s="14">
        <f t="shared" si="36"/>
        <v>263</v>
      </c>
      <c r="I634" s="14"/>
      <c r="J634" s="15">
        <f t="shared" si="37"/>
        <v>0</v>
      </c>
      <c r="K634" s="12" t="s">
        <v>3222</v>
      </c>
      <c r="L634" s="16" t="str">
        <f t="shared" si="38"/>
        <v>9786267660126</v>
      </c>
      <c r="M634" s="29" t="str">
        <f t="shared" si="39"/>
        <v>https://search.books.com.tw/search/query/key/9786267660126</v>
      </c>
      <c r="N634" s="12" t="s">
        <v>522</v>
      </c>
      <c r="O634" s="12"/>
      <c r="P634" s="12" t="s">
        <v>45</v>
      </c>
      <c r="Q634" s="17" t="s">
        <v>713</v>
      </c>
    </row>
    <row r="635" spans="1:17" ht="24.9" customHeight="1">
      <c r="A635" s="2"/>
      <c r="B635" s="11" t="s">
        <v>3223</v>
      </c>
      <c r="C635" s="9" t="s">
        <v>3224</v>
      </c>
      <c r="D635" s="12" t="s">
        <v>2259</v>
      </c>
      <c r="E635" s="13" t="s">
        <v>3225</v>
      </c>
      <c r="F635" s="13" t="s">
        <v>3226</v>
      </c>
      <c r="G635" s="14">
        <v>350</v>
      </c>
      <c r="H635" s="14">
        <f t="shared" si="36"/>
        <v>263</v>
      </c>
      <c r="I635" s="14"/>
      <c r="J635" s="15">
        <f t="shared" si="37"/>
        <v>0</v>
      </c>
      <c r="K635" s="12" t="s">
        <v>3222</v>
      </c>
      <c r="L635" s="16" t="str">
        <f t="shared" si="38"/>
        <v>9786267660133</v>
      </c>
      <c r="M635" s="29" t="str">
        <f t="shared" si="39"/>
        <v>https://search.books.com.tw/search/query/key/9786267660133</v>
      </c>
      <c r="N635" s="12" t="s">
        <v>522</v>
      </c>
      <c r="O635" s="12"/>
      <c r="P635" s="12" t="s">
        <v>45</v>
      </c>
      <c r="Q635" s="17" t="s">
        <v>713</v>
      </c>
    </row>
    <row r="636" spans="1:17" ht="24.9" customHeight="1">
      <c r="A636" s="2"/>
      <c r="B636" s="11" t="s">
        <v>3227</v>
      </c>
      <c r="C636" s="9" t="s">
        <v>3228</v>
      </c>
      <c r="D636" s="12" t="s">
        <v>2259</v>
      </c>
      <c r="E636" s="13" t="s">
        <v>3229</v>
      </c>
      <c r="F636" s="13" t="s">
        <v>3230</v>
      </c>
      <c r="G636" s="14">
        <v>350</v>
      </c>
      <c r="H636" s="14">
        <f t="shared" si="36"/>
        <v>263</v>
      </c>
      <c r="I636" s="14"/>
      <c r="J636" s="15">
        <f t="shared" si="37"/>
        <v>0</v>
      </c>
      <c r="K636" s="12" t="s">
        <v>3222</v>
      </c>
      <c r="L636" s="16" t="str">
        <f t="shared" si="38"/>
        <v>9786267660324</v>
      </c>
      <c r="M636" s="29" t="str">
        <f t="shared" si="39"/>
        <v>https://search.books.com.tw/search/query/key/9786267660324</v>
      </c>
      <c r="N636" s="12" t="s">
        <v>522</v>
      </c>
      <c r="O636" s="12"/>
      <c r="P636" s="12" t="s">
        <v>45</v>
      </c>
      <c r="Q636" s="17" t="s">
        <v>713</v>
      </c>
    </row>
    <row r="637" spans="1:17" ht="24.9" customHeight="1">
      <c r="A637" s="2"/>
      <c r="B637" s="11" t="s">
        <v>3231</v>
      </c>
      <c r="C637" s="9" t="s">
        <v>3232</v>
      </c>
      <c r="D637" s="12" t="s">
        <v>2259</v>
      </c>
      <c r="E637" s="13" t="s">
        <v>3233</v>
      </c>
      <c r="F637" s="13" t="s">
        <v>3234</v>
      </c>
      <c r="G637" s="14">
        <v>350</v>
      </c>
      <c r="H637" s="14">
        <f t="shared" si="36"/>
        <v>263</v>
      </c>
      <c r="I637" s="14"/>
      <c r="J637" s="15">
        <f t="shared" si="37"/>
        <v>0</v>
      </c>
      <c r="K637" s="12" t="s">
        <v>3222</v>
      </c>
      <c r="L637" s="16" t="str">
        <f t="shared" si="38"/>
        <v>9786267660485</v>
      </c>
      <c r="M637" s="29" t="str">
        <f t="shared" si="39"/>
        <v>https://search.books.com.tw/search/query/key/9786267660485</v>
      </c>
      <c r="N637" s="12" t="s">
        <v>522</v>
      </c>
      <c r="O637" s="12"/>
      <c r="P637" s="12" t="s">
        <v>45</v>
      </c>
      <c r="Q637" s="17" t="s">
        <v>713</v>
      </c>
    </row>
    <row r="638" spans="1:17" ht="24.9" customHeight="1">
      <c r="A638" s="2"/>
      <c r="B638" s="11" t="s">
        <v>3235</v>
      </c>
      <c r="C638" s="9" t="s">
        <v>3236</v>
      </c>
      <c r="D638" s="12" t="s">
        <v>3237</v>
      </c>
      <c r="E638" s="13" t="s">
        <v>3238</v>
      </c>
      <c r="F638" s="13" t="s">
        <v>3239</v>
      </c>
      <c r="G638" s="14">
        <v>300</v>
      </c>
      <c r="H638" s="14">
        <f t="shared" si="36"/>
        <v>225</v>
      </c>
      <c r="I638" s="14"/>
      <c r="J638" s="15">
        <f t="shared" si="37"/>
        <v>0</v>
      </c>
      <c r="K638" s="12" t="s">
        <v>567</v>
      </c>
      <c r="L638" s="16" t="str">
        <f t="shared" si="38"/>
        <v>9786263351486</v>
      </c>
      <c r="M638" s="29" t="str">
        <f t="shared" si="39"/>
        <v>https://search.books.com.tw/search/query/key/9786263351486</v>
      </c>
      <c r="N638" s="12" t="s">
        <v>33</v>
      </c>
      <c r="O638" s="12"/>
      <c r="P638" s="12" t="s">
        <v>35</v>
      </c>
      <c r="Q638" s="17" t="s">
        <v>198</v>
      </c>
    </row>
    <row r="639" spans="1:17" ht="24.9" customHeight="1">
      <c r="A639" s="2"/>
      <c r="B639" s="11" t="s">
        <v>3240</v>
      </c>
      <c r="C639" s="9" t="s">
        <v>3241</v>
      </c>
      <c r="D639" s="12" t="s">
        <v>3242</v>
      </c>
      <c r="E639" s="13" t="s">
        <v>3243</v>
      </c>
      <c r="F639" s="13" t="s">
        <v>3244</v>
      </c>
      <c r="G639" s="14">
        <v>538</v>
      </c>
      <c r="H639" s="14">
        <f t="shared" si="36"/>
        <v>404</v>
      </c>
      <c r="I639" s="14"/>
      <c r="J639" s="15">
        <f t="shared" si="37"/>
        <v>0</v>
      </c>
      <c r="K639" s="12" t="s">
        <v>638</v>
      </c>
      <c r="L639" s="16" t="str">
        <f t="shared" si="38"/>
        <v>9786267096970</v>
      </c>
      <c r="M639" s="29" t="str">
        <f t="shared" si="39"/>
        <v>https://search.books.com.tw/search/query/key/9786267096970</v>
      </c>
      <c r="N639" s="12" t="s">
        <v>33</v>
      </c>
      <c r="O639" s="12"/>
      <c r="P639" s="12" t="s">
        <v>35</v>
      </c>
      <c r="Q639" s="17" t="s">
        <v>706</v>
      </c>
    </row>
    <row r="640" spans="1:17" ht="24.9" customHeight="1">
      <c r="A640" s="2"/>
      <c r="B640" s="11" t="s">
        <v>3245</v>
      </c>
      <c r="C640" s="9" t="s">
        <v>3246</v>
      </c>
      <c r="D640" s="12" t="s">
        <v>519</v>
      </c>
      <c r="E640" s="13" t="s">
        <v>3247</v>
      </c>
      <c r="F640" s="13" t="s">
        <v>2061</v>
      </c>
      <c r="G640" s="14">
        <v>300</v>
      </c>
      <c r="H640" s="14">
        <f t="shared" si="36"/>
        <v>225</v>
      </c>
      <c r="I640" s="14"/>
      <c r="J640" s="15">
        <f t="shared" si="37"/>
        <v>0</v>
      </c>
      <c r="K640" s="12" t="s">
        <v>42</v>
      </c>
      <c r="L640" s="16" t="str">
        <f t="shared" si="38"/>
        <v>9789570875034</v>
      </c>
      <c r="M640" s="29" t="str">
        <f t="shared" si="39"/>
        <v>https://search.books.com.tw/search/query/key/9789570875034</v>
      </c>
      <c r="N640" s="12" t="s">
        <v>597</v>
      </c>
      <c r="O640" s="12"/>
      <c r="P640" s="12" t="s">
        <v>45</v>
      </c>
      <c r="Q640" s="17" t="s">
        <v>523</v>
      </c>
    </row>
    <row r="641" spans="1:17" ht="24.9" customHeight="1">
      <c r="A641" s="2"/>
      <c r="B641" s="11" t="s">
        <v>3248</v>
      </c>
      <c r="C641" s="9" t="s">
        <v>3249</v>
      </c>
      <c r="D641" s="12" t="s">
        <v>519</v>
      </c>
      <c r="E641" s="13" t="s">
        <v>3250</v>
      </c>
      <c r="F641" s="13" t="s">
        <v>3251</v>
      </c>
      <c r="G641" s="14">
        <v>300</v>
      </c>
      <c r="H641" s="14">
        <f t="shared" si="36"/>
        <v>225</v>
      </c>
      <c r="I641" s="14"/>
      <c r="J641" s="15">
        <f t="shared" si="37"/>
        <v>0</v>
      </c>
      <c r="K641" s="12" t="s">
        <v>42</v>
      </c>
      <c r="L641" s="16" t="str">
        <f t="shared" si="38"/>
        <v>9789570858600</v>
      </c>
      <c r="M641" s="29" t="str">
        <f t="shared" si="39"/>
        <v>https://search.books.com.tw/search/query/key/9789570858600</v>
      </c>
      <c r="N641" s="12" t="s">
        <v>343</v>
      </c>
      <c r="O641" s="12"/>
      <c r="P641" s="12" t="s">
        <v>45</v>
      </c>
      <c r="Q641" s="17" t="s">
        <v>523</v>
      </c>
    </row>
    <row r="642" spans="1:17" ht="24.9" customHeight="1">
      <c r="A642" s="2"/>
      <c r="B642" s="11" t="s">
        <v>3252</v>
      </c>
      <c r="C642" s="9" t="s">
        <v>3253</v>
      </c>
      <c r="D642" s="12" t="s">
        <v>3254</v>
      </c>
      <c r="E642" s="13" t="s">
        <v>3255</v>
      </c>
      <c r="F642" s="13" t="s">
        <v>3256</v>
      </c>
      <c r="G642" s="14">
        <v>480</v>
      </c>
      <c r="H642" s="14">
        <f t="shared" ref="H642:H705" si="40">ROUND(G642*75%,0)</f>
        <v>360</v>
      </c>
      <c r="I642" s="14"/>
      <c r="J642" s="15">
        <f t="shared" ref="J642:J705" si="41">H642*I642</f>
        <v>0</v>
      </c>
      <c r="K642" s="12" t="s">
        <v>3257</v>
      </c>
      <c r="L642" s="16" t="str">
        <f t="shared" ref="L642:L705" si="42">HYPERLINK(M642,E642)</f>
        <v>9786267299555</v>
      </c>
      <c r="M642" s="29" t="str">
        <f t="shared" ref="M642:M678" si="43">"https://search.books.com.tw/search/query/key/"&amp;E642</f>
        <v>https://search.books.com.tw/search/query/key/9786267299555</v>
      </c>
      <c r="N642" s="12" t="s">
        <v>33</v>
      </c>
      <c r="O642" s="12"/>
      <c r="P642" s="12" t="s">
        <v>73</v>
      </c>
      <c r="Q642" s="17" t="s">
        <v>1755</v>
      </c>
    </row>
    <row r="643" spans="1:17" ht="24.9" customHeight="1">
      <c r="A643" s="2"/>
      <c r="B643" s="11" t="s">
        <v>3258</v>
      </c>
      <c r="C643" s="9" t="s">
        <v>3259</v>
      </c>
      <c r="D643" s="12" t="s">
        <v>3131</v>
      </c>
      <c r="E643" s="13" t="s">
        <v>3260</v>
      </c>
      <c r="F643" s="13" t="s">
        <v>2566</v>
      </c>
      <c r="G643" s="14">
        <v>340</v>
      </c>
      <c r="H643" s="14">
        <f t="shared" si="40"/>
        <v>255</v>
      </c>
      <c r="I643" s="14"/>
      <c r="J643" s="15">
        <f t="shared" si="41"/>
        <v>0</v>
      </c>
      <c r="K643" s="12" t="s">
        <v>3134</v>
      </c>
      <c r="L643" s="16" t="str">
        <f t="shared" si="42"/>
        <v>9786263655157</v>
      </c>
      <c r="M643" s="29" t="str">
        <f t="shared" si="43"/>
        <v>https://search.books.com.tw/search/query/key/9786263655157</v>
      </c>
      <c r="N643" s="12" t="s">
        <v>1029</v>
      </c>
      <c r="O643" s="12"/>
      <c r="P643" s="12" t="s">
        <v>73</v>
      </c>
      <c r="Q643" s="17" t="s">
        <v>3261</v>
      </c>
    </row>
    <row r="644" spans="1:17" ht="24.9" customHeight="1">
      <c r="A644" s="2"/>
      <c r="B644" s="11" t="s">
        <v>3262</v>
      </c>
      <c r="C644" s="9" t="s">
        <v>3263</v>
      </c>
      <c r="D644" s="12" t="s">
        <v>3264</v>
      </c>
      <c r="E644" s="13" t="s">
        <v>3265</v>
      </c>
      <c r="F644" s="13" t="s">
        <v>845</v>
      </c>
      <c r="G644" s="14">
        <v>350</v>
      </c>
      <c r="H644" s="14">
        <f t="shared" si="40"/>
        <v>263</v>
      </c>
      <c r="I644" s="14"/>
      <c r="J644" s="15">
        <f t="shared" si="41"/>
        <v>0</v>
      </c>
      <c r="K644" s="12" t="s">
        <v>22</v>
      </c>
      <c r="L644" s="16" t="str">
        <f t="shared" si="42"/>
        <v>9789865513368</v>
      </c>
      <c r="M644" s="29" t="str">
        <f t="shared" si="43"/>
        <v>https://search.books.com.tw/search/query/key/9789865513368</v>
      </c>
      <c r="N644" s="12" t="s">
        <v>33</v>
      </c>
      <c r="O644" s="12"/>
      <c r="P644" s="12" t="s">
        <v>35</v>
      </c>
      <c r="Q644" s="17" t="s">
        <v>65</v>
      </c>
    </row>
    <row r="645" spans="1:17" ht="24.9" customHeight="1">
      <c r="A645" s="2"/>
      <c r="B645" s="11" t="s">
        <v>3266</v>
      </c>
      <c r="C645" s="9" t="s">
        <v>3267</v>
      </c>
      <c r="D645" s="12" t="s">
        <v>3268</v>
      </c>
      <c r="E645" s="13" t="s">
        <v>3269</v>
      </c>
      <c r="F645" s="13" t="s">
        <v>1685</v>
      </c>
      <c r="G645" s="14">
        <v>450</v>
      </c>
      <c r="H645" s="14">
        <f t="shared" si="40"/>
        <v>338</v>
      </c>
      <c r="I645" s="14"/>
      <c r="J645" s="15">
        <f t="shared" si="41"/>
        <v>0</v>
      </c>
      <c r="K645" s="12" t="s">
        <v>1165</v>
      </c>
      <c r="L645" s="16" t="str">
        <f t="shared" si="42"/>
        <v>9786263982765</v>
      </c>
      <c r="M645" s="29" t="str">
        <f t="shared" si="43"/>
        <v>https://search.books.com.tw/search/query/key/9786263982765</v>
      </c>
      <c r="N645" s="12" t="s">
        <v>33</v>
      </c>
      <c r="O645" s="12"/>
      <c r="P645" s="12" t="s">
        <v>35</v>
      </c>
      <c r="Q645" s="17" t="s">
        <v>706</v>
      </c>
    </row>
    <row r="646" spans="1:17" ht="24.9" customHeight="1">
      <c r="A646" s="2"/>
      <c r="B646" s="11" t="s">
        <v>3270</v>
      </c>
      <c r="C646" s="9" t="s">
        <v>3271</v>
      </c>
      <c r="D646" s="12" t="s">
        <v>2403</v>
      </c>
      <c r="E646" s="13" t="s">
        <v>3272</v>
      </c>
      <c r="F646" s="13" t="s">
        <v>3273</v>
      </c>
      <c r="G646" s="14">
        <v>490</v>
      </c>
      <c r="H646" s="14">
        <f t="shared" si="40"/>
        <v>368</v>
      </c>
      <c r="I646" s="14"/>
      <c r="J646" s="15">
        <f t="shared" si="41"/>
        <v>0</v>
      </c>
      <c r="K646" s="12" t="s">
        <v>349</v>
      </c>
      <c r="L646" s="16" t="str">
        <f t="shared" si="42"/>
        <v>9786263201972</v>
      </c>
      <c r="M646" s="29" t="str">
        <f t="shared" si="43"/>
        <v>https://search.books.com.tw/search/query/key/9786263201972</v>
      </c>
      <c r="N646" s="12" t="s">
        <v>23</v>
      </c>
      <c r="O646" s="12"/>
      <c r="P646" s="12" t="s">
        <v>25</v>
      </c>
      <c r="Q646" s="17" t="s">
        <v>1537</v>
      </c>
    </row>
    <row r="647" spans="1:17" ht="24.9" customHeight="1">
      <c r="A647" s="2"/>
      <c r="B647" s="11" t="s">
        <v>3274</v>
      </c>
      <c r="C647" s="9" t="s">
        <v>3275</v>
      </c>
      <c r="D647" s="12" t="s">
        <v>3276</v>
      </c>
      <c r="E647" s="13" t="s">
        <v>3277</v>
      </c>
      <c r="F647" s="13" t="s">
        <v>3278</v>
      </c>
      <c r="G647" s="14">
        <v>500</v>
      </c>
      <c r="H647" s="14">
        <f t="shared" si="40"/>
        <v>375</v>
      </c>
      <c r="I647" s="14"/>
      <c r="J647" s="15">
        <f t="shared" si="41"/>
        <v>0</v>
      </c>
      <c r="K647" s="12" t="s">
        <v>1674</v>
      </c>
      <c r="L647" s="16" t="str">
        <f t="shared" si="42"/>
        <v>9786267811597</v>
      </c>
      <c r="M647" s="29" t="str">
        <f t="shared" si="43"/>
        <v>https://search.books.com.tw/search/query/key/9786267811597</v>
      </c>
      <c r="N647" s="12" t="s">
        <v>33</v>
      </c>
      <c r="O647" s="12"/>
      <c r="P647" s="12" t="s">
        <v>35</v>
      </c>
      <c r="Q647" s="17" t="s">
        <v>198</v>
      </c>
    </row>
    <row r="648" spans="1:17" ht="24.9" customHeight="1">
      <c r="A648" s="2"/>
      <c r="B648" s="11" t="s">
        <v>3279</v>
      </c>
      <c r="C648" s="9" t="s">
        <v>3280</v>
      </c>
      <c r="D648" s="12" t="s">
        <v>2782</v>
      </c>
      <c r="E648" s="13" t="s">
        <v>3281</v>
      </c>
      <c r="F648" s="13" t="s">
        <v>3282</v>
      </c>
      <c r="G648" s="14">
        <v>450</v>
      </c>
      <c r="H648" s="14">
        <f t="shared" si="40"/>
        <v>338</v>
      </c>
      <c r="I648" s="14"/>
      <c r="J648" s="15">
        <f t="shared" si="41"/>
        <v>0</v>
      </c>
      <c r="K648" s="12" t="s">
        <v>42</v>
      </c>
      <c r="L648" s="16" t="str">
        <f t="shared" si="42"/>
        <v>9789570879025</v>
      </c>
      <c r="M648" s="29" t="str">
        <f t="shared" si="43"/>
        <v>https://search.books.com.tw/search/query/key/9789570879025</v>
      </c>
      <c r="N648" s="12" t="s">
        <v>522</v>
      </c>
      <c r="O648" s="12"/>
      <c r="P648" s="12" t="s">
        <v>45</v>
      </c>
      <c r="Q648" s="17" t="s">
        <v>523</v>
      </c>
    </row>
    <row r="649" spans="1:17" ht="24.9" customHeight="1">
      <c r="A649" s="2"/>
      <c r="B649" s="11" t="s">
        <v>3283</v>
      </c>
      <c r="C649" s="9" t="s">
        <v>3284</v>
      </c>
      <c r="D649" s="12" t="s">
        <v>2782</v>
      </c>
      <c r="E649" s="13" t="s">
        <v>3285</v>
      </c>
      <c r="F649" s="13" t="s">
        <v>3282</v>
      </c>
      <c r="G649" s="14">
        <v>450</v>
      </c>
      <c r="H649" s="14">
        <f t="shared" si="40"/>
        <v>338</v>
      </c>
      <c r="I649" s="14"/>
      <c r="J649" s="15">
        <f t="shared" si="41"/>
        <v>0</v>
      </c>
      <c r="K649" s="12" t="s">
        <v>42</v>
      </c>
      <c r="L649" s="16" t="str">
        <f t="shared" si="42"/>
        <v>9789570879018</v>
      </c>
      <c r="M649" s="29" t="str">
        <f t="shared" si="43"/>
        <v>https://search.books.com.tw/search/query/key/9789570879018</v>
      </c>
      <c r="N649" s="12" t="s">
        <v>522</v>
      </c>
      <c r="O649" s="12"/>
      <c r="P649" s="12" t="s">
        <v>45</v>
      </c>
      <c r="Q649" s="17" t="s">
        <v>523</v>
      </c>
    </row>
    <row r="650" spans="1:17" ht="24.9" customHeight="1">
      <c r="A650" s="2"/>
      <c r="B650" s="11" t="s">
        <v>3286</v>
      </c>
      <c r="C650" s="9" t="s">
        <v>3287</v>
      </c>
      <c r="D650" s="12" t="s">
        <v>2270</v>
      </c>
      <c r="E650" s="13" t="s">
        <v>3288</v>
      </c>
      <c r="F650" s="13" t="s">
        <v>3289</v>
      </c>
      <c r="G650" s="14">
        <v>350</v>
      </c>
      <c r="H650" s="14">
        <f t="shared" si="40"/>
        <v>263</v>
      </c>
      <c r="I650" s="14"/>
      <c r="J650" s="15">
        <f t="shared" si="41"/>
        <v>0</v>
      </c>
      <c r="K650" s="12" t="s">
        <v>22</v>
      </c>
      <c r="L650" s="16" t="str">
        <f t="shared" si="42"/>
        <v>9786267043240</v>
      </c>
      <c r="M650" s="29" t="str">
        <f t="shared" si="43"/>
        <v>https://search.books.com.tw/search/query/key/9786267043240</v>
      </c>
      <c r="N650" s="12" t="s">
        <v>43</v>
      </c>
      <c r="O650" s="12"/>
      <c r="P650" s="12" t="s">
        <v>45</v>
      </c>
      <c r="Q650" s="17" t="s">
        <v>2513</v>
      </c>
    </row>
    <row r="651" spans="1:17" ht="24.9" customHeight="1">
      <c r="A651" s="2"/>
      <c r="B651" s="11" t="s">
        <v>3290</v>
      </c>
      <c r="C651" s="9" t="s">
        <v>3291</v>
      </c>
      <c r="D651" s="12" t="s">
        <v>3292</v>
      </c>
      <c r="E651" s="13" t="s">
        <v>3293</v>
      </c>
      <c r="F651" s="13" t="s">
        <v>3294</v>
      </c>
      <c r="G651" s="14">
        <v>380</v>
      </c>
      <c r="H651" s="14">
        <f t="shared" si="40"/>
        <v>285</v>
      </c>
      <c r="I651" s="14"/>
      <c r="J651" s="15">
        <f t="shared" si="41"/>
        <v>0</v>
      </c>
      <c r="K651" s="12" t="s">
        <v>22</v>
      </c>
      <c r="L651" s="16" t="str">
        <f t="shared" si="42"/>
        <v>9789574907045</v>
      </c>
      <c r="M651" s="29" t="str">
        <f t="shared" si="43"/>
        <v>https://search.books.com.tw/search/query/key/9789574907045</v>
      </c>
      <c r="N651" s="12" t="s">
        <v>597</v>
      </c>
      <c r="O651" s="12"/>
      <c r="P651" s="12" t="s">
        <v>45</v>
      </c>
      <c r="Q651" s="17" t="s">
        <v>523</v>
      </c>
    </row>
    <row r="652" spans="1:17" ht="24.9" customHeight="1">
      <c r="A652" s="2"/>
      <c r="B652" s="11" t="s">
        <v>3295</v>
      </c>
      <c r="C652" s="9" t="s">
        <v>3296</v>
      </c>
      <c r="D652" s="12" t="s">
        <v>2422</v>
      </c>
      <c r="E652" s="13" t="s">
        <v>3297</v>
      </c>
      <c r="F652" s="13" t="s">
        <v>2061</v>
      </c>
      <c r="G652" s="14">
        <v>350</v>
      </c>
      <c r="H652" s="14">
        <f t="shared" si="40"/>
        <v>263</v>
      </c>
      <c r="I652" s="14"/>
      <c r="J652" s="15">
        <f t="shared" si="41"/>
        <v>0</v>
      </c>
      <c r="K652" s="12" t="s">
        <v>42</v>
      </c>
      <c r="L652" s="16" t="str">
        <f t="shared" si="42"/>
        <v>9789570875027</v>
      </c>
      <c r="M652" s="29" t="str">
        <f t="shared" si="43"/>
        <v>https://search.books.com.tw/search/query/key/9789570875027</v>
      </c>
      <c r="N652" s="12" t="s">
        <v>522</v>
      </c>
      <c r="O652" s="12"/>
      <c r="P652" s="12" t="s">
        <v>45</v>
      </c>
      <c r="Q652" s="17" t="s">
        <v>523</v>
      </c>
    </row>
    <row r="653" spans="1:17" ht="24.9" customHeight="1">
      <c r="A653" s="2"/>
      <c r="B653" s="11" t="s">
        <v>3298</v>
      </c>
      <c r="C653" s="9" t="s">
        <v>3299</v>
      </c>
      <c r="D653" s="12" t="s">
        <v>2422</v>
      </c>
      <c r="E653" s="13" t="s">
        <v>3300</v>
      </c>
      <c r="F653" s="13" t="s">
        <v>3301</v>
      </c>
      <c r="G653" s="14">
        <v>350</v>
      </c>
      <c r="H653" s="14">
        <f t="shared" si="40"/>
        <v>263</v>
      </c>
      <c r="I653" s="14"/>
      <c r="J653" s="15">
        <f t="shared" si="41"/>
        <v>0</v>
      </c>
      <c r="K653" s="12" t="s">
        <v>42</v>
      </c>
      <c r="L653" s="16" t="str">
        <f t="shared" si="42"/>
        <v>9789570863895</v>
      </c>
      <c r="M653" s="29" t="str">
        <f t="shared" si="43"/>
        <v>https://search.books.com.tw/search/query/key/9789570863895</v>
      </c>
      <c r="N653" s="12" t="s">
        <v>343</v>
      </c>
      <c r="O653" s="12"/>
      <c r="P653" s="12" t="s">
        <v>45</v>
      </c>
      <c r="Q653" s="17" t="s">
        <v>523</v>
      </c>
    </row>
    <row r="654" spans="1:17" ht="24.9" customHeight="1">
      <c r="A654" s="2"/>
      <c r="B654" s="11" t="s">
        <v>3302</v>
      </c>
      <c r="C654" s="9" t="s">
        <v>3303</v>
      </c>
      <c r="D654" s="12" t="s">
        <v>3304</v>
      </c>
      <c r="E654" s="13" t="s">
        <v>3305</v>
      </c>
      <c r="F654" s="13" t="s">
        <v>2088</v>
      </c>
      <c r="G654" s="14">
        <v>270</v>
      </c>
      <c r="H654" s="14">
        <f t="shared" si="40"/>
        <v>203</v>
      </c>
      <c r="I654" s="14"/>
      <c r="J654" s="15">
        <f t="shared" si="41"/>
        <v>0</v>
      </c>
      <c r="K654" s="12" t="s">
        <v>1674</v>
      </c>
      <c r="L654" s="16" t="str">
        <f t="shared" si="42"/>
        <v>9786267811405</v>
      </c>
      <c r="M654" s="29" t="str">
        <f t="shared" si="43"/>
        <v>https://search.books.com.tw/search/query/key/9786267811405</v>
      </c>
      <c r="N654" s="12" t="s">
        <v>33</v>
      </c>
      <c r="O654" s="12"/>
      <c r="P654" s="12" t="s">
        <v>35</v>
      </c>
      <c r="Q654" s="17" t="s">
        <v>36</v>
      </c>
    </row>
    <row r="655" spans="1:17" ht="24.9" customHeight="1">
      <c r="A655" s="2"/>
      <c r="B655" s="11" t="s">
        <v>3306</v>
      </c>
      <c r="C655" s="9" t="s">
        <v>3307</v>
      </c>
      <c r="D655" s="12" t="s">
        <v>927</v>
      </c>
      <c r="E655" s="13" t="s">
        <v>3308</v>
      </c>
      <c r="F655" s="13" t="s">
        <v>1884</v>
      </c>
      <c r="G655" s="14">
        <v>320</v>
      </c>
      <c r="H655" s="14">
        <f t="shared" si="40"/>
        <v>240</v>
      </c>
      <c r="I655" s="14"/>
      <c r="J655" s="15">
        <f t="shared" si="41"/>
        <v>0</v>
      </c>
      <c r="K655" s="12" t="s">
        <v>22</v>
      </c>
      <c r="L655" s="16" t="str">
        <f t="shared" si="42"/>
        <v>9789865566333</v>
      </c>
      <c r="M655" s="29" t="str">
        <f t="shared" si="43"/>
        <v>https://search.books.com.tw/search/query/key/9789865566333</v>
      </c>
      <c r="N655" s="12" t="s">
        <v>43</v>
      </c>
      <c r="O655" s="12"/>
      <c r="P655" s="12" t="s">
        <v>45</v>
      </c>
      <c r="Q655" s="17" t="s">
        <v>523</v>
      </c>
    </row>
    <row r="656" spans="1:17" ht="24.9" customHeight="1">
      <c r="A656" s="2"/>
      <c r="B656" s="11" t="s">
        <v>3309</v>
      </c>
      <c r="C656" s="9" t="s">
        <v>3310</v>
      </c>
      <c r="D656" s="12" t="s">
        <v>3311</v>
      </c>
      <c r="E656" s="13" t="s">
        <v>3312</v>
      </c>
      <c r="F656" s="13" t="s">
        <v>2071</v>
      </c>
      <c r="G656" s="14">
        <v>390</v>
      </c>
      <c r="H656" s="14">
        <f t="shared" si="40"/>
        <v>293</v>
      </c>
      <c r="I656" s="14"/>
      <c r="J656" s="15">
        <f t="shared" si="41"/>
        <v>0</v>
      </c>
      <c r="K656" s="12" t="s">
        <v>22</v>
      </c>
      <c r="L656" s="16" t="str">
        <f t="shared" si="42"/>
        <v>9786267467701</v>
      </c>
      <c r="M656" s="29" t="str">
        <f t="shared" si="43"/>
        <v>https://search.books.com.tw/search/query/key/9786267467701</v>
      </c>
      <c r="N656" s="12" t="s">
        <v>343</v>
      </c>
      <c r="O656" s="12"/>
      <c r="P656" s="12" t="s">
        <v>45</v>
      </c>
      <c r="Q656" s="17" t="s">
        <v>2278</v>
      </c>
    </row>
    <row r="657" spans="1:17" ht="24.9" customHeight="1">
      <c r="A657" s="2"/>
      <c r="B657" s="11" t="s">
        <v>3313</v>
      </c>
      <c r="C657" s="9" t="s">
        <v>3314</v>
      </c>
      <c r="D657" s="12" t="s">
        <v>2478</v>
      </c>
      <c r="E657" s="13" t="s">
        <v>3315</v>
      </c>
      <c r="F657" s="13" t="s">
        <v>3316</v>
      </c>
      <c r="G657" s="14">
        <v>280</v>
      </c>
      <c r="H657" s="14">
        <f t="shared" si="40"/>
        <v>210</v>
      </c>
      <c r="I657" s="14"/>
      <c r="J657" s="15">
        <f t="shared" si="41"/>
        <v>0</v>
      </c>
      <c r="K657" s="12" t="s">
        <v>2481</v>
      </c>
      <c r="L657" s="16" t="str">
        <f t="shared" si="42"/>
        <v>9789863230755</v>
      </c>
      <c r="M657" s="29" t="str">
        <f t="shared" si="43"/>
        <v>https://search.books.com.tw/search/query/key/9789863230755</v>
      </c>
      <c r="N657" s="12" t="s">
        <v>33</v>
      </c>
      <c r="O657" s="12"/>
      <c r="P657" s="12" t="s">
        <v>45</v>
      </c>
      <c r="Q657" s="17" t="s">
        <v>52</v>
      </c>
    </row>
    <row r="658" spans="1:17" ht="24.9" customHeight="1">
      <c r="A658" s="2"/>
      <c r="B658" s="11" t="s">
        <v>3317</v>
      </c>
      <c r="C658" s="9" t="s">
        <v>3318</v>
      </c>
      <c r="D658" s="12" t="s">
        <v>3319</v>
      </c>
      <c r="E658" s="13" t="s">
        <v>3320</v>
      </c>
      <c r="F658" s="13" t="s">
        <v>3321</v>
      </c>
      <c r="G658" s="14">
        <v>420</v>
      </c>
      <c r="H658" s="14">
        <f t="shared" si="40"/>
        <v>315</v>
      </c>
      <c r="I658" s="14"/>
      <c r="J658" s="15">
        <f t="shared" si="41"/>
        <v>0</v>
      </c>
      <c r="K658" s="12" t="s">
        <v>541</v>
      </c>
      <c r="L658" s="16" t="str">
        <f t="shared" si="42"/>
        <v>9786267645086</v>
      </c>
      <c r="M658" s="29" t="str">
        <f t="shared" si="43"/>
        <v>https://search.books.com.tw/search/query/key/9786267645086</v>
      </c>
      <c r="N658" s="12" t="s">
        <v>33</v>
      </c>
      <c r="O658" s="12"/>
      <c r="P658" s="12" t="s">
        <v>25</v>
      </c>
      <c r="Q658" s="17" t="s">
        <v>3322</v>
      </c>
    </row>
    <row r="659" spans="1:17" ht="24.9" customHeight="1">
      <c r="A659" s="2"/>
      <c r="B659" s="11" t="s">
        <v>3323</v>
      </c>
      <c r="C659" s="9" t="s">
        <v>3324</v>
      </c>
      <c r="D659" s="12" t="s">
        <v>3325</v>
      </c>
      <c r="E659" s="13" t="s">
        <v>3326</v>
      </c>
      <c r="F659" s="13" t="s">
        <v>2287</v>
      </c>
      <c r="G659" s="14">
        <v>320</v>
      </c>
      <c r="H659" s="14">
        <f t="shared" si="40"/>
        <v>240</v>
      </c>
      <c r="I659" s="14"/>
      <c r="J659" s="15">
        <f t="shared" si="41"/>
        <v>0</v>
      </c>
      <c r="K659" s="12" t="s">
        <v>2550</v>
      </c>
      <c r="L659" s="16" t="str">
        <f t="shared" si="42"/>
        <v>9789861617008</v>
      </c>
      <c r="M659" s="29" t="str">
        <f t="shared" si="43"/>
        <v>https://search.books.com.tw/search/query/key/9789861617008</v>
      </c>
      <c r="N659" s="12" t="s">
        <v>1029</v>
      </c>
      <c r="O659" s="12"/>
      <c r="P659" s="12" t="s">
        <v>45</v>
      </c>
      <c r="Q659" s="17" t="s">
        <v>677</v>
      </c>
    </row>
    <row r="660" spans="1:17" ht="24.9" customHeight="1">
      <c r="A660" s="2"/>
      <c r="B660" s="11" t="s">
        <v>3327</v>
      </c>
      <c r="C660" s="9" t="s">
        <v>3328</v>
      </c>
      <c r="D660" s="12" t="s">
        <v>3329</v>
      </c>
      <c r="E660" s="13" t="s">
        <v>3330</v>
      </c>
      <c r="F660" s="13" t="s">
        <v>650</v>
      </c>
      <c r="G660" s="14">
        <v>260</v>
      </c>
      <c r="H660" s="14">
        <f t="shared" si="40"/>
        <v>195</v>
      </c>
      <c r="I660" s="14"/>
      <c r="J660" s="15">
        <f t="shared" si="41"/>
        <v>0</v>
      </c>
      <c r="K660" s="12" t="s">
        <v>1777</v>
      </c>
      <c r="L660" s="16" t="str">
        <f t="shared" si="42"/>
        <v>9789866006258</v>
      </c>
      <c r="M660" s="29" t="str">
        <f t="shared" si="43"/>
        <v>https://search.books.com.tw/search/query/key/9789866006258</v>
      </c>
      <c r="N660" s="12" t="s">
        <v>33</v>
      </c>
      <c r="O660" s="12"/>
      <c r="P660" s="12" t="s">
        <v>35</v>
      </c>
      <c r="Q660" s="17" t="s">
        <v>36</v>
      </c>
    </row>
    <row r="661" spans="1:17" ht="24.9" customHeight="1">
      <c r="A661" s="2"/>
      <c r="B661" s="11" t="s">
        <v>3331</v>
      </c>
      <c r="C661" s="9" t="s">
        <v>3332</v>
      </c>
      <c r="D661" s="12" t="s">
        <v>417</v>
      </c>
      <c r="E661" s="13" t="s">
        <v>3333</v>
      </c>
      <c r="F661" s="13" t="s">
        <v>1884</v>
      </c>
      <c r="G661" s="14">
        <v>300</v>
      </c>
      <c r="H661" s="14">
        <f t="shared" si="40"/>
        <v>225</v>
      </c>
      <c r="I661" s="14"/>
      <c r="J661" s="15">
        <f t="shared" si="41"/>
        <v>0</v>
      </c>
      <c r="K661" s="12" t="s">
        <v>22</v>
      </c>
      <c r="L661" s="16" t="str">
        <f t="shared" si="42"/>
        <v>9789865566302</v>
      </c>
      <c r="M661" s="29" t="str">
        <f t="shared" si="43"/>
        <v>https://search.books.com.tw/search/query/key/9789865566302</v>
      </c>
      <c r="N661" s="12" t="s">
        <v>43</v>
      </c>
      <c r="O661" s="12"/>
      <c r="P661" s="12" t="s">
        <v>45</v>
      </c>
      <c r="Q661" s="17" t="s">
        <v>713</v>
      </c>
    </row>
    <row r="662" spans="1:17" ht="24.9" customHeight="1">
      <c r="A662" s="2"/>
      <c r="B662" s="11" t="s">
        <v>3334</v>
      </c>
      <c r="C662" s="9" t="s">
        <v>3335</v>
      </c>
      <c r="D662" s="12" t="s">
        <v>3336</v>
      </c>
      <c r="E662" s="13" t="s">
        <v>3337</v>
      </c>
      <c r="F662" s="13" t="s">
        <v>3338</v>
      </c>
      <c r="G662" s="14">
        <v>450</v>
      </c>
      <c r="H662" s="14">
        <f t="shared" si="40"/>
        <v>338</v>
      </c>
      <c r="I662" s="14"/>
      <c r="J662" s="15">
        <f t="shared" si="41"/>
        <v>0</v>
      </c>
      <c r="K662" s="12" t="s">
        <v>3339</v>
      </c>
      <c r="L662" s="16" t="str">
        <f t="shared" si="42"/>
        <v>9786267494189</v>
      </c>
      <c r="M662" s="29" t="str">
        <f t="shared" si="43"/>
        <v>https://search.books.com.tw/search/query/key/9786267494189</v>
      </c>
      <c r="N662" s="12" t="s">
        <v>33</v>
      </c>
      <c r="O662" s="12"/>
      <c r="P662" s="12" t="s">
        <v>45</v>
      </c>
      <c r="Q662" s="17" t="s">
        <v>1925</v>
      </c>
    </row>
    <row r="663" spans="1:17" ht="24.9" customHeight="1">
      <c r="A663" s="2"/>
      <c r="B663" s="11" t="s">
        <v>3340</v>
      </c>
      <c r="C663" s="9" t="s">
        <v>3341</v>
      </c>
      <c r="D663" s="12" t="s">
        <v>3342</v>
      </c>
      <c r="E663" s="13" t="s">
        <v>3343</v>
      </c>
      <c r="F663" s="13" t="s">
        <v>3344</v>
      </c>
      <c r="G663" s="14">
        <v>380</v>
      </c>
      <c r="H663" s="14">
        <f t="shared" si="40"/>
        <v>285</v>
      </c>
      <c r="I663" s="14"/>
      <c r="J663" s="15">
        <f t="shared" si="41"/>
        <v>0</v>
      </c>
      <c r="K663" s="12" t="s">
        <v>2167</v>
      </c>
      <c r="L663" s="16" t="str">
        <f t="shared" si="42"/>
        <v>9789862943540</v>
      </c>
      <c r="M663" s="29" t="str">
        <f t="shared" si="43"/>
        <v>https://search.books.com.tw/search/query/key/9789862943540</v>
      </c>
      <c r="N663" s="12" t="s">
        <v>1840</v>
      </c>
      <c r="O663" s="12"/>
      <c r="P663" s="12" t="s">
        <v>45</v>
      </c>
      <c r="Q663" s="17" t="s">
        <v>3345</v>
      </c>
    </row>
    <row r="664" spans="1:17" ht="24.9" customHeight="1">
      <c r="A664" s="2"/>
      <c r="B664" s="11" t="s">
        <v>3346</v>
      </c>
      <c r="C664" s="9" t="s">
        <v>3347</v>
      </c>
      <c r="D664" s="12" t="s">
        <v>3348</v>
      </c>
      <c r="E664" s="13" t="s">
        <v>3349</v>
      </c>
      <c r="F664" s="13" t="s">
        <v>3350</v>
      </c>
      <c r="G664" s="14">
        <v>400</v>
      </c>
      <c r="H664" s="14">
        <f t="shared" si="40"/>
        <v>300</v>
      </c>
      <c r="I664" s="14"/>
      <c r="J664" s="15">
        <f t="shared" si="41"/>
        <v>0</v>
      </c>
      <c r="K664" s="12" t="s">
        <v>832</v>
      </c>
      <c r="L664" s="16" t="str">
        <f t="shared" si="42"/>
        <v>9786263146907</v>
      </c>
      <c r="M664" s="29" t="str">
        <f t="shared" si="43"/>
        <v>https://search.books.com.tw/search/query/key/9786263146907</v>
      </c>
      <c r="N664" s="12" t="s">
        <v>33</v>
      </c>
      <c r="O664" s="12"/>
      <c r="P664" s="12" t="s">
        <v>45</v>
      </c>
      <c r="Q664" s="17" t="s">
        <v>1230</v>
      </c>
    </row>
    <row r="665" spans="1:17" ht="24.9" customHeight="1">
      <c r="A665" s="2"/>
      <c r="B665" s="11" t="s">
        <v>3351</v>
      </c>
      <c r="C665" s="9" t="s">
        <v>3352</v>
      </c>
      <c r="D665" s="12" t="s">
        <v>3353</v>
      </c>
      <c r="E665" s="13" t="s">
        <v>3354</v>
      </c>
      <c r="F665" s="13" t="s">
        <v>3355</v>
      </c>
      <c r="G665" s="14">
        <v>280</v>
      </c>
      <c r="H665" s="14">
        <f t="shared" si="40"/>
        <v>210</v>
      </c>
      <c r="I665" s="14"/>
      <c r="J665" s="15">
        <f t="shared" si="41"/>
        <v>0</v>
      </c>
      <c r="K665" s="12" t="s">
        <v>596</v>
      </c>
      <c r="L665" s="16" t="str">
        <f t="shared" si="42"/>
        <v>9789862131725</v>
      </c>
      <c r="M665" s="29" t="str">
        <f t="shared" si="43"/>
        <v>https://search.books.com.tw/search/query/key/9789862131725</v>
      </c>
      <c r="N665" s="12" t="s">
        <v>33</v>
      </c>
      <c r="O665" s="12"/>
      <c r="P665" s="12" t="s">
        <v>45</v>
      </c>
      <c r="Q665" s="17" t="s">
        <v>46</v>
      </c>
    </row>
    <row r="666" spans="1:17" ht="24.9" customHeight="1">
      <c r="A666" s="2"/>
      <c r="B666" s="11" t="s">
        <v>3356</v>
      </c>
      <c r="C666" s="9" t="s">
        <v>3357</v>
      </c>
      <c r="D666" s="12" t="s">
        <v>417</v>
      </c>
      <c r="E666" s="13" t="s">
        <v>3358</v>
      </c>
      <c r="F666" s="13" t="s">
        <v>528</v>
      </c>
      <c r="G666" s="14">
        <v>280</v>
      </c>
      <c r="H666" s="14">
        <f t="shared" si="40"/>
        <v>210</v>
      </c>
      <c r="I666" s="14"/>
      <c r="J666" s="15">
        <f t="shared" si="41"/>
        <v>0</v>
      </c>
      <c r="K666" s="12" t="s">
        <v>22</v>
      </c>
      <c r="L666" s="16" t="str">
        <f t="shared" si="42"/>
        <v>9789862112618</v>
      </c>
      <c r="M666" s="29" t="str">
        <f t="shared" si="43"/>
        <v>https://search.books.com.tw/search/query/key/9789862112618</v>
      </c>
      <c r="N666" s="12" t="s">
        <v>43</v>
      </c>
      <c r="O666" s="12"/>
      <c r="P666" s="12" t="s">
        <v>45</v>
      </c>
      <c r="Q666" s="17" t="s">
        <v>523</v>
      </c>
    </row>
    <row r="667" spans="1:17" ht="24.9" customHeight="1">
      <c r="A667" s="2"/>
      <c r="B667" s="11" t="s">
        <v>3359</v>
      </c>
      <c r="C667" s="9" t="s">
        <v>3360</v>
      </c>
      <c r="D667" s="12" t="s">
        <v>2458</v>
      </c>
      <c r="E667" s="13" t="s">
        <v>3361</v>
      </c>
      <c r="F667" s="13" t="s">
        <v>2460</v>
      </c>
      <c r="G667" s="14">
        <v>300</v>
      </c>
      <c r="H667" s="14">
        <f t="shared" si="40"/>
        <v>225</v>
      </c>
      <c r="I667" s="14"/>
      <c r="J667" s="15">
        <f t="shared" si="41"/>
        <v>0</v>
      </c>
      <c r="K667" s="12" t="s">
        <v>2461</v>
      </c>
      <c r="L667" s="16" t="str">
        <f t="shared" si="42"/>
        <v>9786267060773</v>
      </c>
      <c r="M667" s="29" t="str">
        <f t="shared" si="43"/>
        <v>https://search.books.com.tw/search/query/key/9786267060773</v>
      </c>
      <c r="N667" s="12" t="s">
        <v>1840</v>
      </c>
      <c r="O667" s="12"/>
      <c r="P667" s="12" t="s">
        <v>45</v>
      </c>
      <c r="Q667" s="17" t="s">
        <v>1462</v>
      </c>
    </row>
    <row r="668" spans="1:17" ht="24.9" customHeight="1">
      <c r="A668" s="2"/>
      <c r="B668" s="11" t="s">
        <v>3362</v>
      </c>
      <c r="C668" s="9" t="s">
        <v>3363</v>
      </c>
      <c r="D668" s="12" t="s">
        <v>3364</v>
      </c>
      <c r="E668" s="13" t="s">
        <v>3365</v>
      </c>
      <c r="F668" s="13" t="s">
        <v>3366</v>
      </c>
      <c r="G668" s="14">
        <v>399</v>
      </c>
      <c r="H668" s="14">
        <f t="shared" si="40"/>
        <v>299</v>
      </c>
      <c r="I668" s="14"/>
      <c r="J668" s="15">
        <f t="shared" si="41"/>
        <v>0</v>
      </c>
      <c r="K668" s="12" t="s">
        <v>3367</v>
      </c>
      <c r="L668" s="16" t="str">
        <f t="shared" si="42"/>
        <v>9786267414248</v>
      </c>
      <c r="M668" s="29" t="str">
        <f t="shared" si="43"/>
        <v>https://search.books.com.tw/search/query/key/9786267414248</v>
      </c>
      <c r="N668" s="12" t="s">
        <v>33</v>
      </c>
      <c r="O668" s="12"/>
      <c r="P668" s="12" t="s">
        <v>73</v>
      </c>
      <c r="Q668" s="17" t="s">
        <v>2301</v>
      </c>
    </row>
    <row r="669" spans="1:17" ht="24.9" customHeight="1">
      <c r="A669" s="2"/>
      <c r="B669" s="11" t="s">
        <v>3368</v>
      </c>
      <c r="C669" s="9" t="s">
        <v>3369</v>
      </c>
      <c r="D669" s="12" t="s">
        <v>1846</v>
      </c>
      <c r="E669" s="13" t="s">
        <v>3370</v>
      </c>
      <c r="F669" s="13" t="s">
        <v>3371</v>
      </c>
      <c r="G669" s="14">
        <v>350</v>
      </c>
      <c r="H669" s="14">
        <f t="shared" si="40"/>
        <v>263</v>
      </c>
      <c r="I669" s="14"/>
      <c r="J669" s="15">
        <f t="shared" si="41"/>
        <v>0</v>
      </c>
      <c r="K669" s="12" t="s">
        <v>349</v>
      </c>
      <c r="L669" s="16" t="str">
        <f t="shared" si="42"/>
        <v>9786264201155</v>
      </c>
      <c r="M669" s="29" t="str">
        <f t="shared" si="43"/>
        <v>https://search.books.com.tw/search/query/key/9786264201155</v>
      </c>
      <c r="N669" s="12" t="s">
        <v>343</v>
      </c>
      <c r="O669" s="12"/>
      <c r="P669" s="12" t="s">
        <v>25</v>
      </c>
      <c r="Q669" s="17" t="s">
        <v>2406</v>
      </c>
    </row>
    <row r="670" spans="1:17" ht="24.9" customHeight="1">
      <c r="A670" s="2"/>
      <c r="B670" s="11" t="s">
        <v>3372</v>
      </c>
      <c r="C670" s="9" t="s">
        <v>3373</v>
      </c>
      <c r="D670" s="12" t="s">
        <v>894</v>
      </c>
      <c r="E670" s="13" t="s">
        <v>3374</v>
      </c>
      <c r="F670" s="13" t="s">
        <v>3375</v>
      </c>
      <c r="G670" s="14">
        <v>290</v>
      </c>
      <c r="H670" s="14">
        <f t="shared" si="40"/>
        <v>218</v>
      </c>
      <c r="I670" s="14"/>
      <c r="J670" s="15">
        <f t="shared" si="41"/>
        <v>0</v>
      </c>
      <c r="K670" s="12" t="s">
        <v>232</v>
      </c>
      <c r="L670" s="16" t="str">
        <f t="shared" si="42"/>
        <v>9789869914949</v>
      </c>
      <c r="M670" s="29" t="str">
        <f t="shared" si="43"/>
        <v>https://search.books.com.tw/search/query/key/9789869914949</v>
      </c>
      <c r="N670" s="12" t="s">
        <v>1047</v>
      </c>
      <c r="O670" s="12"/>
      <c r="P670" s="12" t="s">
        <v>45</v>
      </c>
      <c r="Q670" s="17" t="s">
        <v>1885</v>
      </c>
    </row>
    <row r="671" spans="1:17" ht="24.9" customHeight="1">
      <c r="A671" s="2"/>
      <c r="B671" s="11" t="s">
        <v>3376</v>
      </c>
      <c r="C671" s="9" t="s">
        <v>3377</v>
      </c>
      <c r="D671" s="12" t="s">
        <v>3378</v>
      </c>
      <c r="E671" s="13" t="s">
        <v>3379</v>
      </c>
      <c r="F671" s="13" t="s">
        <v>3380</v>
      </c>
      <c r="G671" s="14">
        <v>350</v>
      </c>
      <c r="H671" s="14">
        <f t="shared" si="40"/>
        <v>263</v>
      </c>
      <c r="I671" s="14"/>
      <c r="J671" s="15">
        <f t="shared" si="41"/>
        <v>0</v>
      </c>
      <c r="K671" s="12" t="s">
        <v>3339</v>
      </c>
      <c r="L671" s="16" t="str">
        <f t="shared" si="42"/>
        <v>9786269810536</v>
      </c>
      <c r="M671" s="29" t="str">
        <f t="shared" si="43"/>
        <v>https://search.books.com.tw/search/query/key/9786269810536</v>
      </c>
      <c r="N671" s="12" t="s">
        <v>33</v>
      </c>
      <c r="O671" s="12"/>
      <c r="P671" s="12" t="s">
        <v>25</v>
      </c>
      <c r="Q671" s="17" t="s">
        <v>26</v>
      </c>
    </row>
    <row r="672" spans="1:17" ht="24.9" customHeight="1">
      <c r="A672" s="2"/>
      <c r="B672" s="11" t="s">
        <v>3381</v>
      </c>
      <c r="C672" s="9" t="s">
        <v>3382</v>
      </c>
      <c r="D672" s="12" t="s">
        <v>3383</v>
      </c>
      <c r="E672" s="13" t="s">
        <v>3384</v>
      </c>
      <c r="F672" s="13" t="s">
        <v>3385</v>
      </c>
      <c r="G672" s="14">
        <v>380</v>
      </c>
      <c r="H672" s="14">
        <f t="shared" si="40"/>
        <v>285</v>
      </c>
      <c r="I672" s="14"/>
      <c r="J672" s="15">
        <f t="shared" si="41"/>
        <v>0</v>
      </c>
      <c r="K672" s="12" t="s">
        <v>232</v>
      </c>
      <c r="L672" s="16" t="str">
        <f t="shared" si="42"/>
        <v>9786267171882</v>
      </c>
      <c r="M672" s="29" t="str">
        <f t="shared" si="43"/>
        <v>https://search.books.com.tw/search/query/key/9786267171882</v>
      </c>
      <c r="N672" s="12" t="s">
        <v>343</v>
      </c>
      <c r="O672" s="12"/>
      <c r="P672" s="12" t="s">
        <v>25</v>
      </c>
      <c r="Q672" s="17" t="s">
        <v>1849</v>
      </c>
    </row>
    <row r="673" spans="1:17" ht="24.9" customHeight="1">
      <c r="A673" s="2"/>
      <c r="B673" s="11" t="s">
        <v>3386</v>
      </c>
      <c r="C673" s="9" t="s">
        <v>3387</v>
      </c>
      <c r="D673" s="12" t="s">
        <v>3388</v>
      </c>
      <c r="E673" s="13" t="s">
        <v>3389</v>
      </c>
      <c r="F673" s="13" t="s">
        <v>3390</v>
      </c>
      <c r="G673" s="14">
        <v>460</v>
      </c>
      <c r="H673" s="14">
        <f t="shared" si="40"/>
        <v>345</v>
      </c>
      <c r="I673" s="14"/>
      <c r="J673" s="15">
        <f t="shared" si="41"/>
        <v>0</v>
      </c>
      <c r="K673" s="12" t="s">
        <v>683</v>
      </c>
      <c r="L673" s="16" t="str">
        <f t="shared" si="42"/>
        <v>9786267336861</v>
      </c>
      <c r="M673" s="29" t="str">
        <f t="shared" si="43"/>
        <v>https://search.books.com.tw/search/query/key/9786267336861</v>
      </c>
      <c r="N673" s="12" t="s">
        <v>33</v>
      </c>
      <c r="O673" s="12"/>
      <c r="P673" s="12" t="s">
        <v>35</v>
      </c>
      <c r="Q673" s="17" t="s">
        <v>706</v>
      </c>
    </row>
    <row r="674" spans="1:17" ht="24.9" customHeight="1">
      <c r="A674" s="2"/>
      <c r="B674" s="11" t="s">
        <v>3391</v>
      </c>
      <c r="C674" s="9" t="s">
        <v>3392</v>
      </c>
      <c r="D674" s="12" t="s">
        <v>3393</v>
      </c>
      <c r="E674" s="13" t="s">
        <v>3394</v>
      </c>
      <c r="F674" s="13" t="s">
        <v>3395</v>
      </c>
      <c r="G674" s="14">
        <v>350</v>
      </c>
      <c r="H674" s="14">
        <f t="shared" si="40"/>
        <v>263</v>
      </c>
      <c r="I674" s="14"/>
      <c r="J674" s="15">
        <f t="shared" si="41"/>
        <v>0</v>
      </c>
      <c r="K674" s="12" t="s">
        <v>22</v>
      </c>
      <c r="L674" s="16" t="str">
        <f t="shared" si="42"/>
        <v>9789862119594</v>
      </c>
      <c r="M674" s="29" t="str">
        <f t="shared" si="43"/>
        <v>https://search.books.com.tw/search/query/key/9789862119594</v>
      </c>
      <c r="N674" s="12" t="s">
        <v>43</v>
      </c>
      <c r="O674" s="12"/>
      <c r="P674" s="12" t="s">
        <v>45</v>
      </c>
      <c r="Q674" s="17" t="s">
        <v>611</v>
      </c>
    </row>
    <row r="675" spans="1:17" ht="24.9" customHeight="1">
      <c r="A675" s="2"/>
      <c r="B675" s="11" t="s">
        <v>3396</v>
      </c>
      <c r="C675" s="9" t="s">
        <v>3397</v>
      </c>
      <c r="D675" s="12" t="s">
        <v>3398</v>
      </c>
      <c r="E675" s="13" t="s">
        <v>3399</v>
      </c>
      <c r="F675" s="13" t="s">
        <v>3400</v>
      </c>
      <c r="G675" s="14">
        <v>300</v>
      </c>
      <c r="H675" s="14">
        <f t="shared" si="40"/>
        <v>225</v>
      </c>
      <c r="I675" s="14"/>
      <c r="J675" s="15">
        <f t="shared" si="41"/>
        <v>0</v>
      </c>
      <c r="K675" s="12" t="s">
        <v>80</v>
      </c>
      <c r="L675" s="16" t="str">
        <f t="shared" si="42"/>
        <v>9789860576726</v>
      </c>
      <c r="M675" s="29" t="str">
        <f t="shared" si="43"/>
        <v>https://search.books.com.tw/search/query/key/9789860576726</v>
      </c>
      <c r="N675" s="12" t="s">
        <v>43</v>
      </c>
      <c r="O675" s="12"/>
      <c r="P675" s="12" t="s">
        <v>45</v>
      </c>
      <c r="Q675" s="17" t="s">
        <v>46</v>
      </c>
    </row>
    <row r="676" spans="1:17" ht="24.9" customHeight="1">
      <c r="A676" s="2"/>
      <c r="B676" s="11" t="s">
        <v>3401</v>
      </c>
      <c r="C676" s="9" t="s">
        <v>3402</v>
      </c>
      <c r="D676" s="12" t="s">
        <v>3403</v>
      </c>
      <c r="E676" s="13" t="s">
        <v>3404</v>
      </c>
      <c r="F676" s="13" t="s">
        <v>2492</v>
      </c>
      <c r="G676" s="14">
        <v>380</v>
      </c>
      <c r="H676" s="14">
        <f t="shared" si="40"/>
        <v>285</v>
      </c>
      <c r="I676" s="14"/>
      <c r="J676" s="15">
        <f t="shared" si="41"/>
        <v>0</v>
      </c>
      <c r="K676" s="12" t="s">
        <v>3405</v>
      </c>
      <c r="L676" s="16" t="str">
        <f t="shared" si="42"/>
        <v>9786269839346</v>
      </c>
      <c r="M676" s="29" t="str">
        <f t="shared" si="43"/>
        <v>https://search.books.com.tw/search/query/key/9786269839346</v>
      </c>
      <c r="N676" s="12" t="s">
        <v>33</v>
      </c>
      <c r="O676" s="12"/>
      <c r="P676" s="12" t="s">
        <v>45</v>
      </c>
      <c r="Q676" s="17" t="s">
        <v>3406</v>
      </c>
    </row>
    <row r="677" spans="1:17" ht="24.9" customHeight="1">
      <c r="A677" s="2"/>
      <c r="B677" s="11" t="s">
        <v>3407</v>
      </c>
      <c r="C677" s="9" t="s">
        <v>3408</v>
      </c>
      <c r="D677" s="12" t="s">
        <v>3012</v>
      </c>
      <c r="E677" s="13" t="s">
        <v>3409</v>
      </c>
      <c r="F677" s="13" t="s">
        <v>3410</v>
      </c>
      <c r="G677" s="14">
        <v>380</v>
      </c>
      <c r="H677" s="14">
        <f t="shared" si="40"/>
        <v>285</v>
      </c>
      <c r="I677" s="14"/>
      <c r="J677" s="15">
        <f t="shared" si="41"/>
        <v>0</v>
      </c>
      <c r="K677" s="12" t="s">
        <v>80</v>
      </c>
      <c r="L677" s="16" t="str">
        <f t="shared" si="42"/>
        <v>9789862941249</v>
      </c>
      <c r="M677" s="29" t="str">
        <f t="shared" si="43"/>
        <v>https://search.books.com.tw/search/query/key/9789862941249</v>
      </c>
      <c r="N677" s="12" t="s">
        <v>33</v>
      </c>
      <c r="O677" s="12"/>
      <c r="P677" s="12" t="s">
        <v>45</v>
      </c>
      <c r="Q677" s="17" t="s">
        <v>1925</v>
      </c>
    </row>
    <row r="678" spans="1:17" ht="24.9" customHeight="1">
      <c r="A678" s="2"/>
      <c r="B678" s="11" t="s">
        <v>3411</v>
      </c>
      <c r="C678" s="9" t="s">
        <v>3412</v>
      </c>
      <c r="D678" s="12" t="s">
        <v>3413</v>
      </c>
      <c r="E678" s="13" t="s">
        <v>3414</v>
      </c>
      <c r="F678" s="13" t="s">
        <v>1496</v>
      </c>
      <c r="G678" s="14">
        <v>380</v>
      </c>
      <c r="H678" s="14">
        <f t="shared" si="40"/>
        <v>285</v>
      </c>
      <c r="I678" s="14"/>
      <c r="J678" s="15">
        <f t="shared" si="41"/>
        <v>0</v>
      </c>
      <c r="K678" s="12" t="s">
        <v>3415</v>
      </c>
      <c r="L678" s="16" t="str">
        <f t="shared" si="42"/>
        <v>9789570535655</v>
      </c>
      <c r="M678" s="29" t="str">
        <f t="shared" si="43"/>
        <v>https://search.books.com.tw/search/query/key/9789570535655</v>
      </c>
      <c r="N678" s="12" t="s">
        <v>33</v>
      </c>
      <c r="O678" s="12"/>
      <c r="P678" s="12" t="s">
        <v>35</v>
      </c>
      <c r="Q678" s="17" t="s">
        <v>1492</v>
      </c>
    </row>
    <row r="679" spans="1:17" ht="24.9" customHeight="1">
      <c r="A679" s="30"/>
      <c r="B679" s="31"/>
      <c r="C679" s="32" t="s">
        <v>3416</v>
      </c>
      <c r="D679" s="33"/>
      <c r="E679" s="31"/>
      <c r="F679" s="34"/>
      <c r="G679" s="32"/>
      <c r="H679" s="32"/>
      <c r="I679" s="35">
        <f>SUM(I2:I678)</f>
        <v>0</v>
      </c>
      <c r="J679" s="36">
        <f>SUM(J2:J678)</f>
        <v>0</v>
      </c>
      <c r="K679" s="31"/>
      <c r="L679" s="37"/>
      <c r="M679" s="38"/>
      <c r="N679" s="31"/>
      <c r="O679" s="31"/>
      <c r="P679" s="31"/>
      <c r="Q679" s="39"/>
    </row>
    <row r="680" spans="1:17" ht="24.9" customHeight="1"/>
    <row r="681" spans="1:17" ht="24.9" customHeight="1"/>
    <row r="682" spans="1:17" ht="24.9" customHeight="1"/>
    <row r="683" spans="1:17" ht="24.9" customHeight="1"/>
    <row r="684" spans="1:17" ht="24.9" customHeight="1"/>
    <row r="685" spans="1:17" ht="24.9" customHeight="1"/>
    <row r="686" spans="1:17" ht="24.9" customHeight="1"/>
    <row r="687" spans="1:17" ht="24.9" customHeight="1"/>
    <row r="688" spans="1:17" ht="24.9" customHeight="1"/>
    <row r="689" ht="24.9" customHeight="1"/>
    <row r="690" ht="24.9" customHeight="1"/>
    <row r="691" ht="24.9" customHeight="1"/>
    <row r="692" ht="24.9" customHeight="1"/>
    <row r="693" ht="24.9" customHeight="1"/>
    <row r="694" ht="24.9" customHeight="1"/>
    <row r="695" ht="24.9" customHeight="1"/>
    <row r="696" ht="24.9" customHeight="1"/>
    <row r="697" ht="24" customHeight="1"/>
  </sheetData>
  <autoFilter ref="A1:Q697" xr:uid="{00000000-0009-0000-0000-000000000000}">
    <sortState xmlns:xlrd2="http://schemas.microsoft.com/office/spreadsheetml/2017/richdata2" ref="A2:Q697">
      <sortCondition ref="A1"/>
    </sortState>
  </autoFilter>
  <phoneticPr fontId="3" type="noConversion"/>
  <conditionalFormatting sqref="E1">
    <cfRule type="duplicateValues" dxfId="13" priority="1"/>
    <cfRule type="duplicateValues" dxfId="12" priority="2"/>
    <cfRule type="duplicateValues" dxfId="11" priority="3"/>
  </conditionalFormatting>
  <conditionalFormatting sqref="E1:E6 E28:E42 E44 E46:E52 E106:E147 E159:E189 E212:E380">
    <cfRule type="duplicateValues" dxfId="10" priority="8"/>
    <cfRule type="duplicateValues" dxfId="9" priority="9"/>
    <cfRule type="duplicateValues" dxfId="8" priority="10"/>
  </conditionalFormatting>
  <conditionalFormatting sqref="E1:E380">
    <cfRule type="duplicateValues" dxfId="7" priority="11"/>
    <cfRule type="duplicateValues" dxfId="6" priority="12"/>
  </conditionalFormatting>
  <conditionalFormatting sqref="E1:E434">
    <cfRule type="duplicateValues" dxfId="5" priority="13"/>
  </conditionalFormatting>
  <conditionalFormatting sqref="E2:E6 E28:E42 E44 E46:E52 E106:E147 E159:E189 E212:E380">
    <cfRule type="duplicateValues" dxfId="4" priority="4"/>
    <cfRule type="duplicateValues" dxfId="3" priority="5"/>
    <cfRule type="duplicateValues" dxfId="2" priority="6"/>
    <cfRule type="duplicateValues" dxfId="1" priority="7"/>
  </conditionalFormatting>
  <conditionalFormatting sqref="E435:E696">
    <cfRule type="duplicateValues" dxfId="0" priority="14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本土文化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2026-04-07T02:34:16Z</dcterms:created>
  <dcterms:modified xsi:type="dcterms:W3CDTF">2026-06-26T15:53:19Z</dcterms:modified>
</cp:coreProperties>
</file>